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hợp_PA Full" sheetId="1" r:id="rId4"/>
    <sheet state="visible" name="m2 xây dựng_PA Full" sheetId="2" r:id="rId5"/>
    <sheet state="visible" name="Tổng hợp_PA 2 lầu" sheetId="3" r:id="rId6"/>
    <sheet state="visible" name="m2 xây dựng_PA 2 lầu" sheetId="4" r:id="rId7"/>
  </sheets>
  <definedNames/>
  <calcPr/>
  <extLst>
    <ext uri="GoogleSheetsCustomDataVersion2">
      <go:sheetsCustomData xmlns:go="http://customooxmlschemas.google.com/" r:id="rId8" roundtripDataChecksum="wEzFl++sdabd/jfOvvueLFG5ATig3X54n2APkjPjeXU="/>
    </ext>
  </extLst>
</workbook>
</file>

<file path=xl/sharedStrings.xml><?xml version="1.0" encoding="utf-8"?>
<sst xmlns="http://schemas.openxmlformats.org/spreadsheetml/2006/main" count="257" uniqueCount="109">
  <si>
    <t>KHAI TOÁN NGÂN SÁCH XÂY NHÀ_PA FULL</t>
  </si>
  <si>
    <t>KHAI TOÁN NGÂN SÁCH XÂY NHÀ</t>
  </si>
  <si>
    <t>Trong đó</t>
  </si>
  <si>
    <t>STT</t>
  </si>
  <si>
    <t>Hạng mục</t>
  </si>
  <si>
    <t>Diện tích</t>
  </si>
  <si>
    <t>Đơn giá</t>
  </si>
  <si>
    <t>Thành iền</t>
  </si>
  <si>
    <t>M2 xây dựng phần thô</t>
  </si>
  <si>
    <t>M2 phần hoàn thiện</t>
  </si>
  <si>
    <t>M2 hoàn thiện giai đoạn 2</t>
  </si>
  <si>
    <t>Chi phí khác</t>
  </si>
  <si>
    <t>BẢNG CHI TIẾT CÁC HẠNG MỤC</t>
  </si>
  <si>
    <t>Các loại chi phí</t>
  </si>
  <si>
    <t>ĐVT</t>
  </si>
  <si>
    <t>Số lượng</t>
  </si>
  <si>
    <t>Thành tiền</t>
  </si>
  <si>
    <t>Ghi chú</t>
  </si>
  <si>
    <t>Mua đất</t>
  </si>
  <si>
    <t>Lô đất</t>
  </si>
  <si>
    <t>Tháo dỡ nhà cũ</t>
  </si>
  <si>
    <t>Gói</t>
  </si>
  <si>
    <t>Định vị ranh đất</t>
  </si>
  <si>
    <t>Xin phép xây dựng</t>
  </si>
  <si>
    <t>Hồ sơ</t>
  </si>
  <si>
    <t>Thuê nhà tạm thời</t>
  </si>
  <si>
    <t>Tháng</t>
  </si>
  <si>
    <t>Tư vấn đầu tư</t>
  </si>
  <si>
    <t>Di dời đồng hồ điện nước, đấu nối hố ga</t>
  </si>
  <si>
    <t>Lần</t>
  </si>
  <si>
    <t>Thiết kế xây dựng</t>
  </si>
  <si>
    <t>m2</t>
  </si>
  <si>
    <t>Thẩm tra hồ sơ và Kiểm định (nếu có)</t>
  </si>
  <si>
    <t>Lập dự toán</t>
  </si>
  <si>
    <t>Bảo hiểm công trình xây dựng</t>
  </si>
  <si>
    <t>% công trình</t>
  </si>
  <si>
    <t>Chủ nhà mua</t>
  </si>
  <si>
    <t>Hoạt động tâm linh (khởi công, xin phép)</t>
  </si>
  <si>
    <t xml:space="preserve"> </t>
  </si>
  <si>
    <t>Thuê bảo vệ, người nhà trông coi</t>
  </si>
  <si>
    <t>Bảo quản đồ nội thất, thiết bị 2 tháng cuối công trình</t>
  </si>
  <si>
    <t>Khảo sát địa chất</t>
  </si>
  <si>
    <t>Vị trí</t>
  </si>
  <si>
    <t>Khoan dẫn (tạo lỗ ép cọc)</t>
  </si>
  <si>
    <t>md</t>
  </si>
  <si>
    <t>Ép cọc</t>
  </si>
  <si>
    <t>48 tim, 10m/tim (tạm tính)</t>
  </si>
  <si>
    <t>Nhân công ép cọc</t>
  </si>
  <si>
    <t>Tim</t>
  </si>
  <si>
    <t>Ép cừ C chống sạt lở</t>
  </si>
  <si>
    <t>2 hệ giằng tường vây</t>
  </si>
  <si>
    <t>Xây dựng phần thô</t>
  </si>
  <si>
    <t>Vật tư phần thô nhân công hoàn thiện</t>
  </si>
  <si>
    <t>Hoàn thiện</t>
  </si>
  <si>
    <t>Đơn giá sẽ cập nhật sau khi nhận bản vẽ đầy đủ</t>
  </si>
  <si>
    <t>Nội thất</t>
  </si>
  <si>
    <t>phòng</t>
  </si>
  <si>
    <t>Tạm tính nội thất 1 phòng (bao gồm nội thất gỗ, thiết bị)</t>
  </si>
  <si>
    <t>Thang máy</t>
  </si>
  <si>
    <t>Bộ</t>
  </si>
  <si>
    <t>Thang máy 6 điểm dừng
Bộ tiêu chuẩn 320tr 4 điểm dừng 
Thêm 1 điểm dừng tăng 10tr</t>
  </si>
  <si>
    <t>Điểm dừng thang máy</t>
  </si>
  <si>
    <t>Điểm</t>
  </si>
  <si>
    <t>Dây điện 3P thang máy</t>
  </si>
  <si>
    <t>Phòng cháy chữa cháy</t>
  </si>
  <si>
    <t>Trợ Lý Xây Nhà</t>
  </si>
  <si>
    <t>Công nghệ thông minh và an ninh</t>
  </si>
  <si>
    <t>Vườn và cảnh quan</t>
  </si>
  <si>
    <t>Quà cáp hàng xóm, bồi dưỡng abc, thợ thuyền</t>
  </si>
  <si>
    <t>Hoạt động tâm linh (bồi hoàn long mạch, cất nóc)</t>
  </si>
  <si>
    <t>Dịch vụ hoàn công</t>
  </si>
  <si>
    <t>Tổng vệ sinh công trình</t>
  </si>
  <si>
    <t>Hoạt động tâm linh (cúng nhập trạch)</t>
  </si>
  <si>
    <t>Hoàn thiện lề đường sau thi công do hư hỏng</t>
  </si>
  <si>
    <t>Tô tường nhà hàng xóm 2 bên khi tháo dỡ nhà cũ</t>
  </si>
  <si>
    <t>Thiết bị điện lạnh, NLMT</t>
  </si>
  <si>
    <t>Máy lạnh, máy nước nóng NLMT</t>
  </si>
  <si>
    <t>Thiết bị điện tử</t>
  </si>
  <si>
    <t>Tivi, loa, robot hút bụi,...</t>
  </si>
  <si>
    <t>Thiết bị nhà bếp</t>
  </si>
  <si>
    <t>Tủ lạnh, bếp từ, lò nướng,...</t>
  </si>
  <si>
    <t>Phát sinh</t>
  </si>
  <si>
    <t>HẠNG MỤC</t>
  </si>
  <si>
    <t>KHỐI LƯỢNG
(m2)</t>
  </si>
  <si>
    <t>HỆ SỐ</t>
  </si>
  <si>
    <t>DIỆN TÍCH
PHẦN THÔ (m2)</t>
  </si>
  <si>
    <t>DIỆN TÍCH
HOÀN THIỆN (m2)</t>
  </si>
  <si>
    <t>DIỆN TÍCH THIẾT KẾ (m2)</t>
  </si>
  <si>
    <t>Móng</t>
  </si>
  <si>
    <t>Tầng hầm sau nhà</t>
  </si>
  <si>
    <t>Trệt</t>
  </si>
  <si>
    <t>Lửng</t>
  </si>
  <si>
    <t>Thông tầng tầng lửng</t>
  </si>
  <si>
    <t>Lầu 1</t>
  </si>
  <si>
    <t>Lầu 2</t>
  </si>
  <si>
    <t>Lầu 3</t>
  </si>
  <si>
    <t>Sân thượng có mái che</t>
  </si>
  <si>
    <t>Sân thượng không mái che</t>
  </si>
  <si>
    <t>Mái</t>
  </si>
  <si>
    <t>Sân sau</t>
  </si>
  <si>
    <t>Hố pít thang máy</t>
  </si>
  <si>
    <t>Tổng cộng</t>
  </si>
  <si>
    <t>KHAI TOÁN NGÂN SÁCH XÂY NHÀ_PA 2 LẦU</t>
  </si>
  <si>
    <t>Hoàn thiện giai đoạn 1 (trước hoàn công)</t>
  </si>
  <si>
    <t>Hoàn thiện giai đoạn 2 (sau hoàn công)</t>
  </si>
  <si>
    <t>Tầng lửng</t>
  </si>
  <si>
    <t>Hoàn công</t>
  </si>
  <si>
    <t>Chi phí "xin phép đặc biệt"</t>
  </si>
  <si>
    <t>Mái BTCT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</si>
</sst>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 ₫&quot;[$-vi-VN]_);(#,##0&quot; ₫&quot;[$-vi-VN])"/>
    <numFmt numFmtId="165" formatCode="$#,##0"/>
  </numFmts>
  <fonts count="21">
    <font>
      <sz val="10.0"/>
      <color theme="1"/>
      <name val="Calibri"/>
      <scheme val="minor"/>
    </font>
    <font>
      <b/>
      <sz val="18.0"/>
      <color rgb="FF000000"/>
      <name val="Calibri"/>
    </font>
    <font>
      <sz val="9.0"/>
      <color rgb="FF000000"/>
      <name val="Calibri"/>
    </font>
    <font>
      <b/>
      <sz val="12.0"/>
      <color rgb="FF000000"/>
      <name val="Calibri"/>
    </font>
    <font/>
    <font>
      <b/>
      <sz val="12.0"/>
      <color rgb="FFF54A45"/>
      <name val="Calibri"/>
    </font>
    <font>
      <b/>
      <sz val="12.0"/>
      <color rgb="FF1F2329"/>
      <name val="Calibri"/>
    </font>
    <font>
      <b/>
      <sz val="12.0"/>
      <color rgb="FFFFFFFF"/>
      <name val="Calibri"/>
    </font>
    <font>
      <b/>
      <sz val="13.0"/>
      <color rgb="FFFFFFFF"/>
      <name val="Calibri"/>
    </font>
    <font>
      <sz val="12.0"/>
      <color rgb="FF000000"/>
      <name val="Calibri"/>
    </font>
    <font>
      <b/>
      <sz val="13.0"/>
      <color rgb="FF1F2329"/>
      <name val="Calibri"/>
    </font>
    <font>
      <i/>
      <sz val="12.0"/>
      <color rgb="FF000000"/>
      <name val="Calibri"/>
    </font>
    <font>
      <sz val="12.0"/>
      <color rgb="FF1F2329"/>
      <name val="Calibri"/>
    </font>
    <font>
      <i/>
      <sz val="12.0"/>
      <color rgb="FF1F2329"/>
      <name val="Calibri"/>
    </font>
    <font>
      <b/>
      <i/>
      <u/>
      <sz val="12.0"/>
      <color rgb="FFF54A45"/>
      <name val="Calibri"/>
    </font>
    <font>
      <b/>
      <i/>
      <u/>
      <sz val="12.0"/>
      <color rgb="FFF54A45"/>
      <name val="Calibri"/>
    </font>
    <font>
      <b/>
      <i/>
      <u/>
      <sz val="12.0"/>
      <color rgb="FFF54A45"/>
      <name val="Calibri"/>
    </font>
    <font>
      <b/>
      <sz val="9.0"/>
      <color rgb="FF373C43"/>
      <name val="Calibri"/>
    </font>
    <font>
      <b/>
      <sz val="9.0"/>
      <color rgb="FF000000"/>
      <name val="Calibri"/>
    </font>
    <font>
      <b/>
      <sz val="12.0"/>
      <color rgb="FFD8393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ED4A4"/>
        <bgColor rgb="FFFED4A4"/>
      </patternFill>
    </fill>
    <fill>
      <patternFill patternType="solid">
        <fgColor rgb="FF049FD7"/>
        <bgColor rgb="FF049FD7"/>
      </patternFill>
    </fill>
    <fill>
      <patternFill patternType="solid">
        <fgColor rgb="FFD9F3FD"/>
        <bgColor rgb="FFD9F3FD"/>
      </patternFill>
    </fill>
    <fill>
      <patternFill patternType="solid">
        <fgColor rgb="FFFAF1D1"/>
        <bgColor rgb="FFFAF1D1"/>
      </patternFill>
    </fill>
    <fill>
      <patternFill patternType="solid">
        <fgColor rgb="FFFFF258"/>
        <bgColor rgb="FFFFF258"/>
      </patternFill>
    </fill>
    <fill>
      <patternFill patternType="solid">
        <fgColor rgb="FFEEF6C6"/>
        <bgColor rgb="FFEEF6C6"/>
      </patternFill>
    </fill>
  </fills>
  <borders count="13">
    <border/>
    <border>
      <left style="thin">
        <color rgb="FF1F2329"/>
      </left>
      <top style="thin">
        <color rgb="FF1F2329"/>
      </top>
      <bottom style="thin">
        <color rgb="FF1F2329"/>
      </bottom>
    </border>
    <border>
      <top style="thin">
        <color rgb="FF1F2329"/>
      </top>
      <bottom style="thin">
        <color rgb="FF1F2329"/>
      </bottom>
    </border>
    <border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</border>
    <border>
      <left style="thin">
        <color rgb="FF1F2329"/>
      </left>
      <right style="thin">
        <color rgb="FF1F2329"/>
      </right>
      <top/>
      <bottom style="thin">
        <color rgb="FF1F2329"/>
      </bottom>
    </border>
    <border>
      <left style="thin">
        <color rgb="FF1F2329"/>
      </left>
      <top/>
      <bottom style="thin">
        <color rgb="FF1F2329"/>
      </bottom>
    </border>
    <border>
      <right style="thin">
        <color rgb="FF1F2329"/>
      </right>
      <top/>
      <bottom style="thin">
        <color rgb="FF1F2329"/>
      </bottom>
    </border>
    <border>
      <left style="thin">
        <color rgb="FF1F2329"/>
      </left>
      <right/>
      <top/>
      <bottom style="thin">
        <color rgb="FF1F2329"/>
      </bottom>
    </border>
    <border>
      <left style="thin">
        <color rgb="FF1F2329"/>
      </left>
      <right style="thin">
        <color rgb="FF1F2329"/>
      </right>
      <top style="thin">
        <color rgb="FF1F2329"/>
      </top>
    </border>
    <border>
      <left style="thin">
        <color rgb="FF1F2329"/>
      </left>
      <right/>
      <top style="thin">
        <color rgb="FF1F2329"/>
      </top>
      <bottom style="thin">
        <color rgb="FF1F2329"/>
      </bottom>
    </border>
    <border>
      <left/>
      <top style="thin">
        <color rgb="FF1F2329"/>
      </top>
      <bottom style="thin">
        <color rgb="FF1F2329"/>
      </bottom>
    </border>
    <border>
      <right/>
      <top style="thin">
        <color rgb="FF1F2329"/>
      </top>
      <bottom style="thin">
        <color rgb="FF1F2329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2" fontId="5" numFmtId="164" xfId="0" applyAlignment="1" applyBorder="1" applyFont="1" applyNumberFormat="1">
      <alignment horizontal="center" vertical="center"/>
    </xf>
    <xf borderId="0" fillId="0" fontId="6" numFmtId="0" xfId="0" applyAlignment="1" applyFont="1">
      <alignment horizontal="left" vertical="center"/>
    </xf>
    <xf borderId="4" fillId="3" fontId="7" numFmtId="0" xfId="0" applyAlignment="1" applyBorder="1" applyFill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4" fillId="3" fontId="7" numFmtId="164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1"/>
    </xf>
    <xf borderId="5" fillId="4" fontId="9" numFmtId="0" xfId="0" applyAlignment="1" applyBorder="1" applyFill="1" applyFont="1">
      <alignment horizontal="center" vertical="center"/>
    </xf>
    <xf borderId="5" fillId="4" fontId="9" numFmtId="0" xfId="0" applyAlignment="1" applyBorder="1" applyFont="1">
      <alignment vertical="center"/>
    </xf>
    <xf borderId="6" fillId="4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5" fillId="4" fontId="9" numFmtId="164" xfId="0" applyAlignment="1" applyBorder="1" applyFont="1" applyNumberFormat="1">
      <alignment horizontal="center" vertical="center"/>
    </xf>
    <xf borderId="5" fillId="4" fontId="3" numFmtId="164" xfId="0" applyAlignment="1" applyBorder="1" applyFont="1" applyNumberFormat="1">
      <alignment shrinkToFit="0" vertical="center" wrapText="1"/>
    </xf>
    <xf borderId="4" fillId="4" fontId="9" numFmtId="0" xfId="0" applyAlignment="1" applyBorder="1" applyFont="1">
      <alignment horizontal="center" vertical="center"/>
    </xf>
    <xf borderId="4" fillId="4" fontId="9" numFmtId="0" xfId="0" applyAlignment="1" applyBorder="1" applyFont="1">
      <alignment vertical="center"/>
    </xf>
    <xf borderId="1" fillId="4" fontId="3" numFmtId="0" xfId="0" applyAlignment="1" applyBorder="1" applyFont="1">
      <alignment horizontal="center" vertical="center"/>
    </xf>
    <xf borderId="4" fillId="4" fontId="9" numFmtId="164" xfId="0" applyAlignment="1" applyBorder="1" applyFont="1" applyNumberFormat="1">
      <alignment horizontal="center" vertical="center"/>
    </xf>
    <xf borderId="1" fillId="4" fontId="9" numFmtId="0" xfId="0" applyAlignment="1" applyBorder="1" applyFont="1">
      <alignment horizontal="center" vertical="center"/>
    </xf>
    <xf borderId="4" fillId="4" fontId="3" numFmtId="164" xfId="0" applyAlignment="1" applyBorder="1" applyFont="1" applyNumberFormat="1">
      <alignment shrinkToFit="0" vertical="center" wrapText="1"/>
    </xf>
    <xf borderId="0" fillId="0" fontId="8" numFmtId="164" xfId="0" applyAlignment="1" applyFont="1" applyNumberForma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5" fillId="3" fontId="8" numFmtId="0" xfId="0" applyAlignment="1" applyBorder="1" applyFont="1">
      <alignment horizontal="center" shrinkToFit="0" vertical="center" wrapText="1"/>
    </xf>
    <xf borderId="5" fillId="3" fontId="8" numFmtId="164" xfId="0" applyAlignment="1" applyBorder="1" applyFont="1" applyNumberFormat="1">
      <alignment horizontal="center" shrinkToFit="0" vertical="center" wrapText="1"/>
    </xf>
    <xf borderId="8" fillId="3" fontId="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shrinkToFit="0" vertical="center" wrapText="1"/>
    </xf>
    <xf borderId="4" fillId="0" fontId="9" numFmtId="164" xfId="0" applyAlignment="1" applyBorder="1" applyFont="1" applyNumberFormat="1">
      <alignment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4" fillId="0" fontId="9" numFmtId="2" xfId="0" applyAlignment="1" applyBorder="1" applyFont="1" applyNumberFormat="1">
      <alignment horizontal="center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ont="1">
      <alignment shrinkToFit="0" vertical="center" wrapText="1"/>
    </xf>
    <xf borderId="4" fillId="5" fontId="12" numFmtId="0" xfId="0" applyAlignment="1" applyBorder="1" applyFont="1">
      <alignment horizontal="center" shrinkToFit="0" vertical="center" wrapText="1"/>
    </xf>
    <xf borderId="4" fillId="5" fontId="6" numFmtId="164" xfId="0" applyAlignment="1" applyBorder="1" applyFont="1" applyNumberFormat="1">
      <alignment shrinkToFit="0" vertical="center" wrapText="1"/>
    </xf>
    <xf borderId="4" fillId="5" fontId="12" numFmtId="164" xfId="0" applyAlignment="1" applyBorder="1" applyFont="1" applyNumberFormat="1">
      <alignment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readingOrder="0" shrinkToFit="0" vertical="center" wrapText="1"/>
    </xf>
    <xf borderId="4" fillId="0" fontId="9" numFmtId="0" xfId="0" applyAlignment="1" applyBorder="1" applyFont="1">
      <alignment readingOrder="0" shrinkToFit="0" vertical="center" wrapText="1"/>
    </xf>
    <xf borderId="4" fillId="0" fontId="12" numFmtId="164" xfId="0" applyAlignment="1" applyBorder="1" applyFont="1" applyNumberFormat="1">
      <alignment shrinkToFit="0" vertical="center" wrapText="1"/>
    </xf>
    <xf borderId="4" fillId="0" fontId="14" numFmtId="164" xfId="0" applyAlignment="1" applyBorder="1" applyFont="1" applyNumberFormat="1">
      <alignment shrinkToFit="0" vertical="center" wrapText="1"/>
    </xf>
    <xf borderId="9" fillId="0" fontId="9" numFmtId="0" xfId="0" applyAlignment="1" applyBorder="1" applyFont="1">
      <alignment shrinkToFit="0" vertical="center" wrapText="1"/>
    </xf>
    <xf borderId="9" fillId="0" fontId="9" numFmtId="0" xfId="0" applyAlignment="1" applyBorder="1" applyFont="1">
      <alignment horizontal="center" shrinkToFit="0" vertical="center" wrapText="1"/>
    </xf>
    <xf borderId="9" fillId="0" fontId="9" numFmtId="164" xfId="0" applyAlignment="1" applyBorder="1" applyFont="1" applyNumberFormat="1">
      <alignment shrinkToFit="0" vertical="center" wrapText="1"/>
    </xf>
    <xf borderId="9" fillId="0" fontId="15" numFmtId="164" xfId="0" applyAlignment="1" applyBorder="1" applyFont="1" applyNumberFormat="1">
      <alignment shrinkToFit="0" vertical="center" wrapText="1"/>
    </xf>
    <xf borderId="9" fillId="0" fontId="9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4" fillId="0" fontId="9" numFmtId="9" xfId="0" applyAlignment="1" applyBorder="1" applyFont="1" applyNumberFormat="1">
      <alignment shrinkToFit="0" vertical="center" wrapText="1"/>
    </xf>
    <xf borderId="4" fillId="0" fontId="2" numFmtId="0" xfId="0" applyAlignment="1" applyBorder="1" applyFont="1">
      <alignment horizontal="left" vertical="center"/>
    </xf>
    <xf borderId="0" fillId="0" fontId="2" numFmtId="0" xfId="0" applyAlignment="1" applyFont="1">
      <alignment horizontal="center" vertical="center"/>
    </xf>
    <xf borderId="5" fillId="6" fontId="16" numFmtId="164" xfId="0" applyAlignment="1" applyBorder="1" applyFill="1" applyFont="1" applyNumberFormat="1">
      <alignment shrinkToFit="0" vertical="center" wrapText="1"/>
    </xf>
    <xf borderId="0" fillId="0" fontId="2" numFmtId="0" xfId="0" applyAlignment="1" applyFont="1">
      <alignment horizontal="left" vertical="center"/>
    </xf>
    <xf borderId="4" fillId="7" fontId="17" numFmtId="0" xfId="0" applyAlignment="1" applyBorder="1" applyFill="1" applyFont="1">
      <alignment horizontal="center" vertical="center"/>
    </xf>
    <xf borderId="10" fillId="7" fontId="17" numFmtId="0" xfId="0" applyAlignment="1" applyBorder="1" applyFont="1">
      <alignment horizontal="center" vertical="center"/>
    </xf>
    <xf borderId="4" fillId="7" fontId="1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vertical="center"/>
    </xf>
    <xf borderId="4" fillId="4" fontId="18" numFmtId="0" xfId="0" applyAlignment="1" applyBorder="1" applyFont="1">
      <alignment horizontal="center" vertical="center"/>
    </xf>
    <xf borderId="10" fillId="4" fontId="18" numFmtId="0" xfId="0" applyAlignment="1" applyBorder="1" applyFont="1">
      <alignment horizontal="center" vertical="center"/>
    </xf>
    <xf borderId="4" fillId="4" fontId="2" numFmtId="0" xfId="0" applyAlignment="1" applyBorder="1" applyFont="1">
      <alignment vertical="center"/>
    </xf>
    <xf borderId="9" fillId="0" fontId="2" numFmtId="0" xfId="0" applyAlignment="1" applyBorder="1" applyFont="1">
      <alignment horizontal="left" vertical="center"/>
    </xf>
    <xf borderId="9" fillId="0" fontId="18" numFmtId="0" xfId="0" applyAlignment="1" applyBorder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left" vertical="center"/>
    </xf>
    <xf borderId="11" fillId="5" fontId="19" numFmtId="0" xfId="0" applyAlignment="1" applyBorder="1" applyFont="1">
      <alignment horizontal="center" vertical="center"/>
    </xf>
    <xf borderId="1" fillId="5" fontId="19" numFmtId="0" xfId="0" applyAlignment="1" applyBorder="1" applyFont="1">
      <alignment horizontal="center" vertical="center"/>
    </xf>
    <xf borderId="12" fillId="0" fontId="4" numFmtId="0" xfId="0" applyAlignment="1" applyBorder="1" applyFont="1">
      <alignment vertical="center"/>
    </xf>
    <xf borderId="0" fillId="0" fontId="2" numFmtId="165" xfId="0" applyAlignment="1" applyFont="1" applyNumberFormat="1">
      <alignment vertical="center"/>
    </xf>
    <xf borderId="0" fillId="0" fontId="20" numFmtId="0" xfId="0" applyAlignment="1" applyFont="1">
      <alignment readingOrder="0" vertical="center"/>
    </xf>
    <xf borderId="0" fillId="0" fontId="2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8.0"/>
    <col customWidth="1" min="3" max="5" width="19.0"/>
    <col customWidth="1" min="6" max="6" width="21.0"/>
    <col customWidth="1" min="7" max="7" width="52.0"/>
    <col customWidth="1" min="8" max="8" width="24.0"/>
    <col customWidth="1" min="9" max="26" width="14.0"/>
  </cols>
  <sheetData>
    <row r="1" ht="28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8.5" customHeight="1">
      <c r="A2" s="3" t="s">
        <v>1</v>
      </c>
      <c r="B2" s="4"/>
      <c r="C2" s="4"/>
      <c r="D2" s="4"/>
      <c r="E2" s="5"/>
      <c r="F2" s="6">
        <f>F51</f>
        <v>7931400823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.75" customHeight="1">
      <c r="A3" s="7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24.0" customHeight="1">
      <c r="A4" s="8" t="s">
        <v>3</v>
      </c>
      <c r="B4" s="8" t="s">
        <v>4</v>
      </c>
      <c r="C4" s="9" t="s">
        <v>5</v>
      </c>
      <c r="D4" s="5"/>
      <c r="E4" s="10" t="s">
        <v>6</v>
      </c>
      <c r="F4" s="10" t="s">
        <v>7</v>
      </c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24.0" customHeight="1">
      <c r="A5" s="12">
        <v>1.0</v>
      </c>
      <c r="B5" s="13" t="s">
        <v>8</v>
      </c>
      <c r="C5" s="14">
        <f>'m2 xây dựng_PA Full'!D15</f>
        <v>810.55</v>
      </c>
      <c r="D5" s="15"/>
      <c r="E5" s="16">
        <v>3900000.0</v>
      </c>
      <c r="F5" s="17">
        <f t="shared" ref="F5:F7" si="1">C5*E5</f>
        <v>3161145000</v>
      </c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24.0" customHeight="1">
      <c r="A6" s="18">
        <v>2.0</v>
      </c>
      <c r="B6" s="19" t="s">
        <v>9</v>
      </c>
      <c r="C6" s="20">
        <f>'m2 xây dựng_PA Full'!F15</f>
        <v>647.25</v>
      </c>
      <c r="D6" s="5"/>
      <c r="E6" s="21">
        <v>3200000.0</v>
      </c>
      <c r="F6" s="17">
        <f t="shared" si="1"/>
        <v>2071200000</v>
      </c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24.0" customHeight="1">
      <c r="A7" s="18">
        <v>3.0</v>
      </c>
      <c r="B7" s="19" t="s">
        <v>10</v>
      </c>
      <c r="C7" s="20">
        <v>115.5</v>
      </c>
      <c r="D7" s="5"/>
      <c r="E7" s="21">
        <v>5100000.0</v>
      </c>
      <c r="F7" s="17">
        <f t="shared" si="1"/>
        <v>589050000</v>
      </c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24.0" customHeight="1">
      <c r="A8" s="18">
        <v>4.0</v>
      </c>
      <c r="B8" s="19" t="s">
        <v>11</v>
      </c>
      <c r="C8" s="22"/>
      <c r="D8" s="5"/>
      <c r="E8" s="21"/>
      <c r="F8" s="23">
        <f>F2-F5-F6-F7</f>
        <v>2110005823</v>
      </c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24.0" customHeight="1">
      <c r="A9" s="11"/>
      <c r="B9" s="11"/>
      <c r="C9" s="11"/>
      <c r="D9" s="11"/>
      <c r="E9" s="24"/>
      <c r="F9" s="24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24.0" customHeight="1">
      <c r="A10" s="25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8.75" customHeight="1">
      <c r="A11" s="26" t="s">
        <v>3</v>
      </c>
      <c r="B11" s="26" t="s">
        <v>13</v>
      </c>
      <c r="C11" s="26" t="s">
        <v>14</v>
      </c>
      <c r="D11" s="26" t="s">
        <v>15</v>
      </c>
      <c r="E11" s="27" t="s">
        <v>6</v>
      </c>
      <c r="F11" s="27" t="s">
        <v>16</v>
      </c>
      <c r="G11" s="28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8.75" customHeight="1">
      <c r="A12" s="29">
        <v>1.0</v>
      </c>
      <c r="B12" s="30" t="s">
        <v>18</v>
      </c>
      <c r="C12" s="29" t="s">
        <v>19</v>
      </c>
      <c r="D12" s="29"/>
      <c r="E12" s="31"/>
      <c r="F12" s="31">
        <f t="shared" ref="F12:F13" si="2">D12*E12</f>
        <v>0</v>
      </c>
      <c r="G12" s="3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8.75" customHeight="1">
      <c r="A13" s="29">
        <v>2.0</v>
      </c>
      <c r="B13" s="30" t="s">
        <v>20</v>
      </c>
      <c r="C13" s="29" t="s">
        <v>21</v>
      </c>
      <c r="D13" s="29"/>
      <c r="E13" s="31"/>
      <c r="F13" s="31">
        <f t="shared" si="2"/>
        <v>0</v>
      </c>
      <c r="G13" s="3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8.75" customHeight="1">
      <c r="A14" s="29">
        <v>3.0</v>
      </c>
      <c r="B14" s="30" t="s">
        <v>22</v>
      </c>
      <c r="C14" s="29" t="s">
        <v>21</v>
      </c>
      <c r="D14" s="29">
        <v>1.0</v>
      </c>
      <c r="E14" s="31">
        <v>5000000.0</v>
      </c>
      <c r="F14" s="31">
        <f>E14*D14</f>
        <v>5000000</v>
      </c>
      <c r="G14" s="3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8.75" customHeight="1">
      <c r="A15" s="29">
        <v>4.0</v>
      </c>
      <c r="B15" s="30" t="s">
        <v>23</v>
      </c>
      <c r="C15" s="29" t="s">
        <v>24</v>
      </c>
      <c r="D15" s="29"/>
      <c r="E15" s="31"/>
      <c r="F15" s="31">
        <f t="shared" ref="F15:F16" si="3">D15*E15</f>
        <v>0</v>
      </c>
      <c r="G15" s="3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8.75" customHeight="1">
      <c r="A16" s="29">
        <v>5.0</v>
      </c>
      <c r="B16" s="30" t="s">
        <v>25</v>
      </c>
      <c r="C16" s="29" t="s">
        <v>26</v>
      </c>
      <c r="D16" s="29"/>
      <c r="E16" s="31">
        <v>1.5E7</v>
      </c>
      <c r="F16" s="31">
        <f t="shared" si="3"/>
        <v>0</v>
      </c>
      <c r="G16" s="3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8.75" customHeight="1">
      <c r="A17" s="29">
        <v>6.0</v>
      </c>
      <c r="B17" s="30" t="s">
        <v>27</v>
      </c>
      <c r="C17" s="29" t="s">
        <v>21</v>
      </c>
      <c r="D17" s="29"/>
      <c r="E17" s="31"/>
      <c r="F17" s="31"/>
      <c r="G17" s="3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9">
        <v>7.0</v>
      </c>
      <c r="B18" s="30" t="s">
        <v>28</v>
      </c>
      <c r="C18" s="29" t="s">
        <v>29</v>
      </c>
      <c r="D18" s="29"/>
      <c r="E18" s="31"/>
      <c r="F18" s="31"/>
      <c r="G18" s="3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8.75" customHeight="1">
      <c r="A19" s="29">
        <v>8.0</v>
      </c>
      <c r="B19" s="30" t="s">
        <v>30</v>
      </c>
      <c r="C19" s="29" t="s">
        <v>31</v>
      </c>
      <c r="D19" s="29">
        <f>C6</f>
        <v>647.25</v>
      </c>
      <c r="E19" s="31">
        <v>180000.0</v>
      </c>
      <c r="F19" s="31">
        <f>E19*D19</f>
        <v>116505000</v>
      </c>
      <c r="G19" s="3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8.75" customHeight="1">
      <c r="A20" s="29">
        <v>9.0</v>
      </c>
      <c r="B20" s="30" t="s">
        <v>32</v>
      </c>
      <c r="C20" s="29" t="s">
        <v>29</v>
      </c>
      <c r="D20" s="29"/>
      <c r="E20" s="31"/>
      <c r="F20" s="31">
        <f t="shared" ref="F20:F22" si="4">D20*E20</f>
        <v>0</v>
      </c>
      <c r="G20" s="3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8.75" customHeight="1">
      <c r="A21" s="29">
        <v>10.0</v>
      </c>
      <c r="B21" s="30" t="s">
        <v>33</v>
      </c>
      <c r="C21" s="29" t="s">
        <v>21</v>
      </c>
      <c r="D21" s="34">
        <v>1.0</v>
      </c>
      <c r="E21" s="31"/>
      <c r="F21" s="31">
        <f t="shared" si="4"/>
        <v>0</v>
      </c>
      <c r="G21" s="3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8.75" customHeight="1">
      <c r="A22" s="29">
        <v>11.0</v>
      </c>
      <c r="B22" s="30" t="s">
        <v>34</v>
      </c>
      <c r="C22" s="29" t="s">
        <v>35</v>
      </c>
      <c r="D22" s="29">
        <v>5.0E-4</v>
      </c>
      <c r="E22" s="31">
        <f>F30</f>
        <v>3161145000</v>
      </c>
      <c r="F22" s="31">
        <f t="shared" si="4"/>
        <v>1580572.5</v>
      </c>
      <c r="G22" s="35" t="s">
        <v>36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8.75" customHeight="1">
      <c r="A23" s="29">
        <v>12.0</v>
      </c>
      <c r="B23" s="30" t="s">
        <v>37</v>
      </c>
      <c r="C23" s="29" t="s">
        <v>29</v>
      </c>
      <c r="D23" s="29"/>
      <c r="E23" s="31" t="s">
        <v>38</v>
      </c>
      <c r="F23" s="31"/>
      <c r="G23" s="3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8.75" customHeight="1">
      <c r="A24" s="29">
        <v>13.0</v>
      </c>
      <c r="B24" s="30" t="s">
        <v>39</v>
      </c>
      <c r="C24" s="29" t="s">
        <v>26</v>
      </c>
      <c r="D24" s="29">
        <v>2.0</v>
      </c>
      <c r="E24" s="31"/>
      <c r="F24" s="31">
        <f>D24*E24</f>
        <v>0</v>
      </c>
      <c r="G24" s="35" t="s">
        <v>40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9">
        <v>14.0</v>
      </c>
      <c r="B25" s="30" t="s">
        <v>41</v>
      </c>
      <c r="C25" s="29" t="s">
        <v>42</v>
      </c>
      <c r="D25" s="29">
        <v>2.0</v>
      </c>
      <c r="E25" s="31"/>
      <c r="F25" s="31"/>
      <c r="G25" s="3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9">
        <v>15.0</v>
      </c>
      <c r="B26" s="30" t="s">
        <v>43</v>
      </c>
      <c r="C26" s="29" t="s">
        <v>44</v>
      </c>
      <c r="D26" s="29"/>
      <c r="E26" s="31"/>
      <c r="F26" s="31"/>
      <c r="G26" s="3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8.75" customHeight="1">
      <c r="A27" s="29">
        <v>16.0</v>
      </c>
      <c r="B27" s="30" t="s">
        <v>45</v>
      </c>
      <c r="C27" s="29" t="s">
        <v>44</v>
      </c>
      <c r="D27" s="29">
        <f>48*10</f>
        <v>480</v>
      </c>
      <c r="E27" s="31">
        <v>275000.0</v>
      </c>
      <c r="F27" s="31">
        <f t="shared" ref="F27:F34" si="5">D27*E27</f>
        <v>132000000</v>
      </c>
      <c r="G27" s="35" t="s">
        <v>46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9">
        <v>17.0</v>
      </c>
      <c r="B28" s="30" t="s">
        <v>47</v>
      </c>
      <c r="C28" s="29" t="s">
        <v>48</v>
      </c>
      <c r="D28" s="29">
        <v>49.0</v>
      </c>
      <c r="E28" s="31">
        <v>900000.0</v>
      </c>
      <c r="F28" s="31">
        <f t="shared" si="5"/>
        <v>44100000</v>
      </c>
      <c r="G28" s="3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9">
        <v>18.0</v>
      </c>
      <c r="B29" s="33" t="s">
        <v>49</v>
      </c>
      <c r="C29" s="29" t="s">
        <v>44</v>
      </c>
      <c r="D29" s="29">
        <v>30.0</v>
      </c>
      <c r="E29" s="31">
        <v>2400000.0</v>
      </c>
      <c r="F29" s="31">
        <f t="shared" si="5"/>
        <v>72000000</v>
      </c>
      <c r="G29" s="35" t="s">
        <v>50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8.75" customHeight="1">
      <c r="A30" s="36">
        <v>19.0</v>
      </c>
      <c r="B30" s="37" t="s">
        <v>51</v>
      </c>
      <c r="C30" s="38" t="s">
        <v>31</v>
      </c>
      <c r="D30" s="38">
        <f t="shared" ref="D30:D31" si="6">C5</f>
        <v>810.55</v>
      </c>
      <c r="E30" s="39">
        <f t="shared" ref="E30:E31" si="7">E5</f>
        <v>3900000</v>
      </c>
      <c r="F30" s="40">
        <f t="shared" si="5"/>
        <v>3161145000</v>
      </c>
      <c r="G30" s="41" t="s">
        <v>52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36">
        <v>20.0</v>
      </c>
      <c r="B31" s="42" t="s">
        <v>53</v>
      </c>
      <c r="C31" s="38" t="s">
        <v>31</v>
      </c>
      <c r="D31" s="38">
        <f t="shared" si="6"/>
        <v>647.25</v>
      </c>
      <c r="E31" s="39">
        <f t="shared" si="7"/>
        <v>3200000</v>
      </c>
      <c r="F31" s="40">
        <f t="shared" si="5"/>
        <v>2071200000</v>
      </c>
      <c r="G31" s="41" t="s">
        <v>54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8.75" customHeight="1">
      <c r="A32" s="36">
        <v>22.0</v>
      </c>
      <c r="B32" s="37" t="s">
        <v>55</v>
      </c>
      <c r="C32" s="38" t="s">
        <v>56</v>
      </c>
      <c r="D32" s="38">
        <v>20.0</v>
      </c>
      <c r="E32" s="40">
        <v>4.0E7</v>
      </c>
      <c r="F32" s="40">
        <f t="shared" si="5"/>
        <v>800000000</v>
      </c>
      <c r="G32" s="41" t="s">
        <v>57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8.75" customHeight="1">
      <c r="A33" s="29">
        <v>23.0</v>
      </c>
      <c r="B33" s="30" t="s">
        <v>58</v>
      </c>
      <c r="C33" s="29" t="s">
        <v>59</v>
      </c>
      <c r="D33" s="29">
        <v>1.0</v>
      </c>
      <c r="E33" s="31">
        <f>320000000+(10000000*2)</f>
        <v>340000000</v>
      </c>
      <c r="F33" s="31">
        <f t="shared" si="5"/>
        <v>340000000</v>
      </c>
      <c r="G33" s="33" t="s">
        <v>60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21.75" customHeight="1">
      <c r="A34" s="29">
        <v>24.0</v>
      </c>
      <c r="B34" s="30" t="s">
        <v>61</v>
      </c>
      <c r="C34" s="29" t="s">
        <v>62</v>
      </c>
      <c r="D34" s="29">
        <v>6.0</v>
      </c>
      <c r="E34" s="31">
        <v>1.5E7</v>
      </c>
      <c r="F34" s="31">
        <f t="shared" si="5"/>
        <v>90000000</v>
      </c>
      <c r="G34" s="3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9">
        <v>25.0</v>
      </c>
      <c r="B35" s="30" t="s">
        <v>63</v>
      </c>
      <c r="C35" s="29" t="s">
        <v>21</v>
      </c>
      <c r="D35" s="29">
        <v>1.0</v>
      </c>
      <c r="E35" s="31">
        <v>1.5E7</v>
      </c>
      <c r="F35" s="31">
        <f t="shared" ref="F35:F36" si="8">E35*D35</f>
        <v>15000000</v>
      </c>
      <c r="G35" s="3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9">
        <v>26.0</v>
      </c>
      <c r="B36" s="30" t="s">
        <v>64</v>
      </c>
      <c r="C36" s="29" t="s">
        <v>21</v>
      </c>
      <c r="D36" s="29">
        <v>1.0</v>
      </c>
      <c r="E36" s="31">
        <v>4.5E8</v>
      </c>
      <c r="F36" s="31">
        <f t="shared" si="8"/>
        <v>450000000</v>
      </c>
      <c r="G36" s="3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18.75" customHeight="1">
      <c r="A37" s="29">
        <v>27.0</v>
      </c>
      <c r="B37" s="30" t="s">
        <v>65</v>
      </c>
      <c r="C37" s="29" t="s">
        <v>26</v>
      </c>
      <c r="D37" s="29">
        <v>7.0</v>
      </c>
      <c r="E37" s="31">
        <v>2.398E7</v>
      </c>
      <c r="F37" s="31">
        <f t="shared" ref="F37:F45" si="9">D37*E37</f>
        <v>167860000</v>
      </c>
      <c r="G37" s="3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8.75" customHeight="1">
      <c r="A38" s="29">
        <v>28.0</v>
      </c>
      <c r="B38" s="30" t="s">
        <v>66</v>
      </c>
      <c r="C38" s="29" t="s">
        <v>21</v>
      </c>
      <c r="D38" s="29">
        <v>1.0</v>
      </c>
      <c r="E38" s="31"/>
      <c r="F38" s="31">
        <f t="shared" si="9"/>
        <v>0</v>
      </c>
      <c r="G38" s="3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8.75" customHeight="1">
      <c r="A39" s="29">
        <v>29.0</v>
      </c>
      <c r="B39" s="30" t="s">
        <v>67</v>
      </c>
      <c r="C39" s="29" t="s">
        <v>21</v>
      </c>
      <c r="D39" s="29">
        <v>1.0</v>
      </c>
      <c r="E39" s="31"/>
      <c r="F39" s="31">
        <f t="shared" si="9"/>
        <v>0</v>
      </c>
      <c r="G39" s="3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8.75" customHeight="1">
      <c r="A40" s="29">
        <v>30.0</v>
      </c>
      <c r="B40" s="30" t="s">
        <v>68</v>
      </c>
      <c r="C40" s="29" t="s">
        <v>29</v>
      </c>
      <c r="D40" s="29">
        <v>10.0</v>
      </c>
      <c r="E40" s="31">
        <v>2000000.0</v>
      </c>
      <c r="F40" s="31">
        <f t="shared" si="9"/>
        <v>20000000</v>
      </c>
      <c r="G40" s="3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8.75" customHeight="1">
      <c r="A41" s="29">
        <v>31.0</v>
      </c>
      <c r="B41" s="30" t="s">
        <v>69</v>
      </c>
      <c r="C41" s="29" t="s">
        <v>29</v>
      </c>
      <c r="D41" s="29"/>
      <c r="E41" s="31"/>
      <c r="F41" s="31">
        <f t="shared" si="9"/>
        <v>0</v>
      </c>
      <c r="G41" s="3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8.75" customHeight="1">
      <c r="A42" s="29">
        <v>32.0</v>
      </c>
      <c r="B42" s="43" t="s">
        <v>70</v>
      </c>
      <c r="C42" s="29" t="s">
        <v>24</v>
      </c>
      <c r="D42" s="29">
        <v>1.0</v>
      </c>
      <c r="E42" s="31">
        <v>7.0E7</v>
      </c>
      <c r="F42" s="31">
        <f t="shared" si="9"/>
        <v>70000000</v>
      </c>
      <c r="G42" s="3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8.75" customHeight="1">
      <c r="A43" s="29">
        <v>33.0</v>
      </c>
      <c r="B43" s="30" t="s">
        <v>71</v>
      </c>
      <c r="C43" s="29" t="s">
        <v>21</v>
      </c>
      <c r="D43" s="29">
        <v>1.0</v>
      </c>
      <c r="E43" s="31">
        <v>1.5E7</v>
      </c>
      <c r="F43" s="31">
        <f t="shared" si="9"/>
        <v>15000000</v>
      </c>
      <c r="G43" s="3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8.75" customHeight="1">
      <c r="A44" s="29">
        <v>34.0</v>
      </c>
      <c r="B44" s="30" t="s">
        <v>72</v>
      </c>
      <c r="C44" s="29"/>
      <c r="D44" s="29"/>
      <c r="E44" s="31"/>
      <c r="F44" s="31">
        <f t="shared" si="9"/>
        <v>0</v>
      </c>
      <c r="G44" s="3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8.75" customHeight="1">
      <c r="A45" s="29">
        <v>35.0</v>
      </c>
      <c r="B45" s="30" t="s">
        <v>73</v>
      </c>
      <c r="C45" s="29" t="s">
        <v>31</v>
      </c>
      <c r="D45" s="29"/>
      <c r="E45" s="31">
        <v>500000.0</v>
      </c>
      <c r="F45" s="31">
        <f t="shared" si="9"/>
        <v>0</v>
      </c>
      <c r="G45" s="3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8.75" customHeight="1">
      <c r="A46" s="29">
        <v>36.0</v>
      </c>
      <c r="B46" s="30" t="s">
        <v>74</v>
      </c>
      <c r="C46" s="29" t="s">
        <v>31</v>
      </c>
      <c r="D46" s="29"/>
      <c r="E46" s="31"/>
      <c r="F46" s="44"/>
      <c r="G46" s="3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21.75" customHeight="1">
      <c r="A47" s="29">
        <v>37.0</v>
      </c>
      <c r="B47" s="30" t="s">
        <v>75</v>
      </c>
      <c r="C47" s="29"/>
      <c r="D47" s="29"/>
      <c r="E47" s="31"/>
      <c r="F47" s="45"/>
      <c r="G47" s="33" t="s">
        <v>76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21.75" customHeight="1">
      <c r="A48" s="29">
        <v>38.0</v>
      </c>
      <c r="B48" s="46" t="s">
        <v>77</v>
      </c>
      <c r="C48" s="47"/>
      <c r="D48" s="47"/>
      <c r="E48" s="48"/>
      <c r="F48" s="49"/>
      <c r="G48" s="50" t="s">
        <v>78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9">
        <v>39.0</v>
      </c>
      <c r="B49" s="30" t="s">
        <v>79</v>
      </c>
      <c r="C49" s="29"/>
      <c r="D49" s="29"/>
      <c r="E49" s="31"/>
      <c r="F49" s="45"/>
      <c r="G49" s="33" t="s">
        <v>80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8.75" customHeight="1">
      <c r="A50" s="29">
        <v>40.0</v>
      </c>
      <c r="B50" s="30" t="s">
        <v>81</v>
      </c>
      <c r="C50" s="51"/>
      <c r="D50" s="52"/>
      <c r="E50" s="53">
        <v>0.05</v>
      </c>
      <c r="F50" s="31">
        <f>SUM(F30:F49)*E50</f>
        <v>360010250</v>
      </c>
      <c r="G50" s="54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8.75" customHeight="1">
      <c r="A51" s="55"/>
      <c r="B51" s="2"/>
      <c r="C51" s="55"/>
      <c r="D51" s="55"/>
      <c r="E51" s="2"/>
      <c r="F51" s="56">
        <f>SUM(F12:F50)</f>
        <v>7931400823</v>
      </c>
      <c r="G51" s="57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8.75" customHeight="1">
      <c r="A52" s="55"/>
      <c r="B52" s="2"/>
      <c r="C52" s="55"/>
      <c r="D52" s="55"/>
      <c r="E52" s="2"/>
      <c r="F52" s="2"/>
      <c r="G52" s="57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8.75" customHeight="1">
      <c r="A53" s="55"/>
      <c r="B53" s="2"/>
      <c r="C53" s="55"/>
      <c r="D53" s="55"/>
      <c r="E53" s="2"/>
      <c r="F53" s="2"/>
      <c r="G53" s="5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8.75" customHeight="1">
      <c r="A54" s="55"/>
      <c r="B54" s="2"/>
      <c r="C54" s="55"/>
      <c r="D54" s="55"/>
      <c r="E54" s="2"/>
      <c r="F54" s="2"/>
      <c r="G54" s="5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8.75" customHeight="1">
      <c r="A55" s="55"/>
      <c r="B55" s="2"/>
      <c r="C55" s="55"/>
      <c r="D55" s="55"/>
      <c r="E55" s="2"/>
      <c r="F55" s="2"/>
      <c r="G55" s="5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8.75" customHeight="1">
      <c r="A56" s="55"/>
      <c r="B56" s="2"/>
      <c r="C56" s="55"/>
      <c r="D56" s="55"/>
      <c r="E56" s="2"/>
      <c r="F56" s="2"/>
      <c r="G56" s="5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8.75" customHeight="1">
      <c r="A57" s="55"/>
      <c r="B57" s="2"/>
      <c r="C57" s="55"/>
      <c r="D57" s="55"/>
      <c r="E57" s="2"/>
      <c r="F57" s="2"/>
      <c r="G57" s="5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8.75" customHeight="1">
      <c r="A58" s="55"/>
      <c r="B58" s="2"/>
      <c r="C58" s="55"/>
      <c r="D58" s="55"/>
      <c r="E58" s="2"/>
      <c r="F58" s="2"/>
      <c r="G58" s="5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8.75" customHeight="1">
      <c r="A59" s="55"/>
      <c r="B59" s="2"/>
      <c r="C59" s="55"/>
      <c r="D59" s="55"/>
      <c r="E59" s="2"/>
      <c r="F59" s="2"/>
      <c r="G59" s="5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8.75" customHeight="1">
      <c r="A60" s="55"/>
      <c r="B60" s="2"/>
      <c r="C60" s="55"/>
      <c r="D60" s="55"/>
      <c r="E60" s="2"/>
      <c r="F60" s="2"/>
      <c r="G60" s="5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8.75" customHeight="1">
      <c r="A61" s="55"/>
      <c r="B61" s="2"/>
      <c r="C61" s="55"/>
      <c r="D61" s="55"/>
      <c r="E61" s="2"/>
      <c r="F61" s="2"/>
      <c r="G61" s="5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8.75" customHeight="1">
      <c r="A62" s="55"/>
      <c r="B62" s="2"/>
      <c r="C62" s="55"/>
      <c r="D62" s="55"/>
      <c r="E62" s="2"/>
      <c r="F62" s="2"/>
      <c r="G62" s="5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8.75" customHeight="1">
      <c r="A63" s="55"/>
      <c r="B63" s="2"/>
      <c r="C63" s="55"/>
      <c r="D63" s="55"/>
      <c r="E63" s="2"/>
      <c r="F63" s="2"/>
      <c r="G63" s="5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8.75" customHeight="1">
      <c r="A64" s="55"/>
      <c r="B64" s="2"/>
      <c r="C64" s="55"/>
      <c r="D64" s="55"/>
      <c r="E64" s="2"/>
      <c r="F64" s="2"/>
      <c r="G64" s="5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8.75" customHeight="1">
      <c r="A65" s="55"/>
      <c r="B65" s="2"/>
      <c r="C65" s="55"/>
      <c r="D65" s="55"/>
      <c r="E65" s="2"/>
      <c r="F65" s="2"/>
      <c r="G65" s="5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8.75" customHeight="1">
      <c r="A66" s="55"/>
      <c r="B66" s="2"/>
      <c r="C66" s="55"/>
      <c r="D66" s="55"/>
      <c r="E66" s="2"/>
      <c r="F66" s="2"/>
      <c r="G66" s="5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8.75" customHeight="1">
      <c r="A67" s="55"/>
      <c r="B67" s="2"/>
      <c r="C67" s="55"/>
      <c r="D67" s="55"/>
      <c r="E67" s="2"/>
      <c r="F67" s="2"/>
      <c r="G67" s="5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8.75" customHeight="1">
      <c r="A68" s="55"/>
      <c r="B68" s="2"/>
      <c r="C68" s="55"/>
      <c r="D68" s="55"/>
      <c r="E68" s="2"/>
      <c r="F68" s="2"/>
      <c r="G68" s="5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8.75" customHeight="1">
      <c r="A69" s="55"/>
      <c r="B69" s="2"/>
      <c r="C69" s="55"/>
      <c r="D69" s="55"/>
      <c r="E69" s="2"/>
      <c r="F69" s="2"/>
      <c r="G69" s="5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8.75" customHeight="1">
      <c r="A70" s="55"/>
      <c r="B70" s="2"/>
      <c r="C70" s="55"/>
      <c r="D70" s="55"/>
      <c r="E70" s="2"/>
      <c r="F70" s="2"/>
      <c r="G70" s="5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8.75" customHeight="1">
      <c r="A71" s="55"/>
      <c r="B71" s="2"/>
      <c r="C71" s="55"/>
      <c r="D71" s="55"/>
      <c r="E71" s="2"/>
      <c r="F71" s="2"/>
      <c r="G71" s="5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8.75" customHeight="1">
      <c r="A72" s="55"/>
      <c r="B72" s="2"/>
      <c r="C72" s="55"/>
      <c r="D72" s="55"/>
      <c r="E72" s="2"/>
      <c r="F72" s="2"/>
      <c r="G72" s="5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8.75" customHeight="1">
      <c r="A73" s="55"/>
      <c r="B73" s="2"/>
      <c r="C73" s="55"/>
      <c r="D73" s="55"/>
      <c r="E73" s="2"/>
      <c r="F73" s="2"/>
      <c r="G73" s="5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8.75" customHeight="1">
      <c r="A74" s="55"/>
      <c r="B74" s="2"/>
      <c r="C74" s="55"/>
      <c r="D74" s="55"/>
      <c r="E74" s="2"/>
      <c r="F74" s="2"/>
      <c r="G74" s="5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8.75" customHeight="1">
      <c r="A75" s="55"/>
      <c r="B75" s="2"/>
      <c r="C75" s="55"/>
      <c r="D75" s="55"/>
      <c r="E75" s="2"/>
      <c r="F75" s="2"/>
      <c r="G75" s="5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8.75" customHeight="1">
      <c r="A76" s="55"/>
      <c r="B76" s="2"/>
      <c r="C76" s="55"/>
      <c r="D76" s="55"/>
      <c r="E76" s="2"/>
      <c r="F76" s="2"/>
      <c r="G76" s="5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8.75" customHeight="1">
      <c r="A77" s="55"/>
      <c r="B77" s="2"/>
      <c r="C77" s="55"/>
      <c r="D77" s="55"/>
      <c r="E77" s="2"/>
      <c r="F77" s="2"/>
      <c r="G77" s="5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8.75" customHeight="1">
      <c r="A78" s="55"/>
      <c r="B78" s="2"/>
      <c r="C78" s="55"/>
      <c r="D78" s="55"/>
      <c r="E78" s="2"/>
      <c r="F78" s="2"/>
      <c r="G78" s="5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8.75" customHeight="1">
      <c r="A79" s="55"/>
      <c r="B79" s="2"/>
      <c r="C79" s="55"/>
      <c r="D79" s="55"/>
      <c r="E79" s="2"/>
      <c r="F79" s="2"/>
      <c r="G79" s="5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8.75" customHeight="1">
      <c r="A80" s="55"/>
      <c r="B80" s="2"/>
      <c r="C80" s="55"/>
      <c r="D80" s="55"/>
      <c r="E80" s="2"/>
      <c r="F80" s="2"/>
      <c r="G80" s="5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8.75" customHeight="1">
      <c r="A81" s="55"/>
      <c r="B81" s="2"/>
      <c r="C81" s="55"/>
      <c r="D81" s="55"/>
      <c r="E81" s="2"/>
      <c r="F81" s="2"/>
      <c r="G81" s="5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8.75" customHeight="1">
      <c r="A82" s="55"/>
      <c r="B82" s="2"/>
      <c r="C82" s="55"/>
      <c r="D82" s="55"/>
      <c r="E82" s="2"/>
      <c r="F82" s="2"/>
      <c r="G82" s="5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8.75" customHeight="1">
      <c r="A83" s="55"/>
      <c r="B83" s="2"/>
      <c r="C83" s="55"/>
      <c r="D83" s="55"/>
      <c r="E83" s="2"/>
      <c r="F83" s="2"/>
      <c r="G83" s="5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8.75" customHeight="1">
      <c r="A84" s="55"/>
      <c r="B84" s="2"/>
      <c r="C84" s="55"/>
      <c r="D84" s="55"/>
      <c r="E84" s="2"/>
      <c r="F84" s="2"/>
      <c r="G84" s="5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8.75" customHeight="1">
      <c r="A85" s="55"/>
      <c r="B85" s="2"/>
      <c r="C85" s="55"/>
      <c r="D85" s="55"/>
      <c r="E85" s="2"/>
      <c r="F85" s="2"/>
      <c r="G85" s="5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8.75" customHeight="1">
      <c r="A86" s="55"/>
      <c r="B86" s="2"/>
      <c r="C86" s="55"/>
      <c r="D86" s="55"/>
      <c r="E86" s="2"/>
      <c r="F86" s="2"/>
      <c r="G86" s="5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8.75" customHeight="1">
      <c r="A87" s="55"/>
      <c r="B87" s="2"/>
      <c r="C87" s="55"/>
      <c r="D87" s="55"/>
      <c r="E87" s="2"/>
      <c r="F87" s="2"/>
      <c r="G87" s="5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8.75" customHeight="1">
      <c r="A88" s="55"/>
      <c r="B88" s="2"/>
      <c r="C88" s="55"/>
      <c r="D88" s="55"/>
      <c r="E88" s="2"/>
      <c r="F88" s="2"/>
      <c r="G88" s="5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8.75" customHeight="1">
      <c r="A89" s="55"/>
      <c r="B89" s="2"/>
      <c r="C89" s="55"/>
      <c r="D89" s="55"/>
      <c r="E89" s="2"/>
      <c r="F89" s="2"/>
      <c r="G89" s="5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8.75" customHeight="1">
      <c r="A90" s="55"/>
      <c r="B90" s="2"/>
      <c r="C90" s="55"/>
      <c r="D90" s="55"/>
      <c r="E90" s="2"/>
      <c r="F90" s="2"/>
      <c r="G90" s="5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8.75" customHeight="1">
      <c r="A91" s="55"/>
      <c r="B91" s="2"/>
      <c r="C91" s="55"/>
      <c r="D91" s="55"/>
      <c r="E91" s="2"/>
      <c r="F91" s="2"/>
      <c r="G91" s="5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8.75" customHeight="1">
      <c r="A92" s="55"/>
      <c r="B92" s="2"/>
      <c r="C92" s="55"/>
      <c r="D92" s="55"/>
      <c r="E92" s="2"/>
      <c r="F92" s="2"/>
      <c r="G92" s="5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8.75" customHeight="1">
      <c r="A93" s="55"/>
      <c r="B93" s="2"/>
      <c r="C93" s="55"/>
      <c r="D93" s="55"/>
      <c r="E93" s="2"/>
      <c r="F93" s="2"/>
      <c r="G93" s="5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8.75" customHeight="1">
      <c r="A94" s="55"/>
      <c r="B94" s="2"/>
      <c r="C94" s="55"/>
      <c r="D94" s="55"/>
      <c r="E94" s="2"/>
      <c r="F94" s="2"/>
      <c r="G94" s="57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8.75" customHeight="1">
      <c r="A95" s="55"/>
      <c r="B95" s="2"/>
      <c r="C95" s="55"/>
      <c r="D95" s="55"/>
      <c r="E95" s="2"/>
      <c r="F95" s="2"/>
      <c r="G95" s="5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8.75" customHeight="1">
      <c r="A96" s="55"/>
      <c r="B96" s="2"/>
      <c r="C96" s="55"/>
      <c r="D96" s="55"/>
      <c r="E96" s="2"/>
      <c r="F96" s="2"/>
      <c r="G96" s="5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8.75" customHeight="1">
      <c r="A97" s="55"/>
      <c r="B97" s="2"/>
      <c r="C97" s="55"/>
      <c r="D97" s="55"/>
      <c r="E97" s="2"/>
      <c r="F97" s="2"/>
      <c r="G97" s="5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8.75" customHeight="1">
      <c r="A98" s="55"/>
      <c r="B98" s="2"/>
      <c r="C98" s="55"/>
      <c r="D98" s="55"/>
      <c r="E98" s="2"/>
      <c r="F98" s="2"/>
      <c r="G98" s="5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8.75" customHeight="1">
      <c r="A99" s="55"/>
      <c r="B99" s="2"/>
      <c r="C99" s="55"/>
      <c r="D99" s="55"/>
      <c r="E99" s="2"/>
      <c r="F99" s="2"/>
      <c r="G99" s="5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8.75" customHeight="1">
      <c r="A100" s="55"/>
      <c r="B100" s="2"/>
      <c r="C100" s="55"/>
      <c r="D100" s="55"/>
      <c r="E100" s="2"/>
      <c r="F100" s="2"/>
      <c r="G100" s="57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8.75" customHeight="1">
      <c r="A101" s="55"/>
      <c r="B101" s="2"/>
      <c r="C101" s="55"/>
      <c r="D101" s="55"/>
      <c r="E101" s="2"/>
      <c r="F101" s="2"/>
      <c r="G101" s="5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8.75" customHeight="1">
      <c r="A102" s="55"/>
      <c r="B102" s="2"/>
      <c r="C102" s="55"/>
      <c r="D102" s="55"/>
      <c r="E102" s="2"/>
      <c r="F102" s="2"/>
      <c r="G102" s="57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8.75" customHeight="1">
      <c r="A103" s="55"/>
      <c r="B103" s="2"/>
      <c r="C103" s="55"/>
      <c r="D103" s="55"/>
      <c r="E103" s="2"/>
      <c r="F103" s="2"/>
      <c r="G103" s="5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8.75" customHeight="1">
      <c r="A104" s="55"/>
      <c r="B104" s="2"/>
      <c r="C104" s="55"/>
      <c r="D104" s="55"/>
      <c r="E104" s="2"/>
      <c r="F104" s="2"/>
      <c r="G104" s="57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8.75" customHeight="1">
      <c r="A105" s="55"/>
      <c r="B105" s="2"/>
      <c r="C105" s="55"/>
      <c r="D105" s="55"/>
      <c r="E105" s="2"/>
      <c r="F105" s="2"/>
      <c r="G105" s="5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8.75" customHeight="1">
      <c r="A106" s="55"/>
      <c r="B106" s="2"/>
      <c r="C106" s="55"/>
      <c r="D106" s="55"/>
      <c r="E106" s="2"/>
      <c r="F106" s="2"/>
      <c r="G106" s="57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8.75" customHeight="1">
      <c r="A107" s="55"/>
      <c r="B107" s="2"/>
      <c r="C107" s="55"/>
      <c r="D107" s="55"/>
      <c r="E107" s="2"/>
      <c r="F107" s="2"/>
      <c r="G107" s="5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8.75" customHeight="1">
      <c r="A108" s="55"/>
      <c r="B108" s="2"/>
      <c r="C108" s="55"/>
      <c r="D108" s="55"/>
      <c r="E108" s="2"/>
      <c r="F108" s="2"/>
      <c r="G108" s="5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8.75" customHeight="1">
      <c r="A109" s="55"/>
      <c r="B109" s="2"/>
      <c r="C109" s="55"/>
      <c r="D109" s="55"/>
      <c r="E109" s="2"/>
      <c r="F109" s="2"/>
      <c r="G109" s="5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8.75" customHeight="1">
      <c r="A110" s="55"/>
      <c r="B110" s="2"/>
      <c r="C110" s="55"/>
      <c r="D110" s="55"/>
      <c r="E110" s="2"/>
      <c r="F110" s="2"/>
      <c r="G110" s="5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8.75" customHeight="1">
      <c r="A111" s="55"/>
      <c r="B111" s="2"/>
      <c r="C111" s="55"/>
      <c r="D111" s="55"/>
      <c r="E111" s="2"/>
      <c r="F111" s="2"/>
      <c r="G111" s="5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8.75" customHeight="1">
      <c r="A112" s="55"/>
      <c r="B112" s="2"/>
      <c r="C112" s="55"/>
      <c r="D112" s="55"/>
      <c r="E112" s="2"/>
      <c r="F112" s="2"/>
      <c r="G112" s="5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8.75" customHeight="1">
      <c r="A113" s="55"/>
      <c r="B113" s="2"/>
      <c r="C113" s="55"/>
      <c r="D113" s="55"/>
      <c r="E113" s="2"/>
      <c r="F113" s="2"/>
      <c r="G113" s="5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8.75" customHeight="1">
      <c r="A114" s="55"/>
      <c r="B114" s="2"/>
      <c r="C114" s="55"/>
      <c r="D114" s="55"/>
      <c r="E114" s="2"/>
      <c r="F114" s="2"/>
      <c r="G114" s="57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8.75" customHeight="1">
      <c r="A115" s="55"/>
      <c r="B115" s="2"/>
      <c r="C115" s="55"/>
      <c r="D115" s="55"/>
      <c r="E115" s="2"/>
      <c r="F115" s="2"/>
      <c r="G115" s="5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8.75" customHeight="1">
      <c r="A116" s="55"/>
      <c r="B116" s="2"/>
      <c r="C116" s="55"/>
      <c r="D116" s="55"/>
      <c r="E116" s="2"/>
      <c r="F116" s="2"/>
      <c r="G116" s="5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8.75" customHeight="1">
      <c r="A117" s="55"/>
      <c r="B117" s="2"/>
      <c r="C117" s="55"/>
      <c r="D117" s="55"/>
      <c r="E117" s="2"/>
      <c r="F117" s="2"/>
      <c r="G117" s="5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8.75" customHeight="1">
      <c r="A118" s="55"/>
      <c r="B118" s="2"/>
      <c r="C118" s="55"/>
      <c r="D118" s="55"/>
      <c r="E118" s="2"/>
      <c r="F118" s="2"/>
      <c r="G118" s="5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8.75" customHeight="1">
      <c r="A119" s="55"/>
      <c r="B119" s="2"/>
      <c r="C119" s="55"/>
      <c r="D119" s="55"/>
      <c r="E119" s="2"/>
      <c r="F119" s="2"/>
      <c r="G119" s="5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8.75" customHeight="1">
      <c r="A120" s="55"/>
      <c r="B120" s="2"/>
      <c r="C120" s="55"/>
      <c r="D120" s="55"/>
      <c r="E120" s="2"/>
      <c r="F120" s="2"/>
      <c r="G120" s="5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8.75" customHeight="1">
      <c r="A121" s="55"/>
      <c r="B121" s="2"/>
      <c r="C121" s="55"/>
      <c r="D121" s="55"/>
      <c r="E121" s="2"/>
      <c r="F121" s="2"/>
      <c r="G121" s="5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8.75" customHeight="1">
      <c r="A122" s="55"/>
      <c r="B122" s="2"/>
      <c r="C122" s="55"/>
      <c r="D122" s="55"/>
      <c r="E122" s="2"/>
      <c r="F122" s="2"/>
      <c r="G122" s="5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8.75" customHeight="1">
      <c r="A123" s="55"/>
      <c r="B123" s="2"/>
      <c r="C123" s="55"/>
      <c r="D123" s="55"/>
      <c r="E123" s="2"/>
      <c r="F123" s="2"/>
      <c r="G123" s="5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8.75" customHeight="1">
      <c r="A124" s="55"/>
      <c r="B124" s="2"/>
      <c r="C124" s="55"/>
      <c r="D124" s="55"/>
      <c r="E124" s="2"/>
      <c r="F124" s="2"/>
      <c r="G124" s="5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8.75" customHeight="1">
      <c r="A125" s="55"/>
      <c r="B125" s="2"/>
      <c r="C125" s="55"/>
      <c r="D125" s="55"/>
      <c r="E125" s="2"/>
      <c r="F125" s="2"/>
      <c r="G125" s="5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8.75" customHeight="1">
      <c r="A126" s="55"/>
      <c r="B126" s="2"/>
      <c r="C126" s="55"/>
      <c r="D126" s="55"/>
      <c r="E126" s="2"/>
      <c r="F126" s="2"/>
      <c r="G126" s="5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8.75" customHeight="1">
      <c r="A127" s="55"/>
      <c r="B127" s="2"/>
      <c r="C127" s="55"/>
      <c r="D127" s="55"/>
      <c r="E127" s="2"/>
      <c r="F127" s="2"/>
      <c r="G127" s="5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8.75" customHeight="1">
      <c r="A128" s="55"/>
      <c r="B128" s="2"/>
      <c r="C128" s="55"/>
      <c r="D128" s="55"/>
      <c r="E128" s="2"/>
      <c r="F128" s="2"/>
      <c r="G128" s="5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8.75" customHeight="1">
      <c r="A129" s="55"/>
      <c r="B129" s="2"/>
      <c r="C129" s="55"/>
      <c r="D129" s="55"/>
      <c r="E129" s="2"/>
      <c r="F129" s="2"/>
      <c r="G129" s="5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8.75" customHeight="1">
      <c r="A130" s="55"/>
      <c r="B130" s="2"/>
      <c r="C130" s="55"/>
      <c r="D130" s="55"/>
      <c r="E130" s="2"/>
      <c r="F130" s="2"/>
      <c r="G130" s="5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8.75" customHeight="1">
      <c r="A131" s="55"/>
      <c r="B131" s="2"/>
      <c r="C131" s="55"/>
      <c r="D131" s="55"/>
      <c r="E131" s="2"/>
      <c r="F131" s="2"/>
      <c r="G131" s="5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8.75" customHeight="1">
      <c r="A132" s="55"/>
      <c r="B132" s="2"/>
      <c r="C132" s="55"/>
      <c r="D132" s="55"/>
      <c r="E132" s="2"/>
      <c r="F132" s="2"/>
      <c r="G132" s="5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8.75" customHeight="1">
      <c r="A133" s="55"/>
      <c r="B133" s="2"/>
      <c r="C133" s="55"/>
      <c r="D133" s="55"/>
      <c r="E133" s="2"/>
      <c r="F133" s="2"/>
      <c r="G133" s="5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8.75" customHeight="1">
      <c r="A134" s="55"/>
      <c r="B134" s="2"/>
      <c r="C134" s="55"/>
      <c r="D134" s="55"/>
      <c r="E134" s="2"/>
      <c r="F134" s="2"/>
      <c r="G134" s="5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8.75" customHeight="1">
      <c r="A135" s="55"/>
      <c r="B135" s="2"/>
      <c r="C135" s="55"/>
      <c r="D135" s="55"/>
      <c r="E135" s="2"/>
      <c r="F135" s="2"/>
      <c r="G135" s="5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8.75" customHeight="1">
      <c r="A136" s="55"/>
      <c r="B136" s="2"/>
      <c r="C136" s="55"/>
      <c r="D136" s="55"/>
      <c r="E136" s="2"/>
      <c r="F136" s="2"/>
      <c r="G136" s="5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8.75" customHeight="1">
      <c r="A137" s="55"/>
      <c r="B137" s="2"/>
      <c r="C137" s="55"/>
      <c r="D137" s="55"/>
      <c r="E137" s="2"/>
      <c r="F137" s="2"/>
      <c r="G137" s="5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8.75" customHeight="1">
      <c r="A138" s="55"/>
      <c r="B138" s="2"/>
      <c r="C138" s="55"/>
      <c r="D138" s="55"/>
      <c r="E138" s="2"/>
      <c r="F138" s="2"/>
      <c r="G138" s="5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8.75" customHeight="1">
      <c r="A139" s="55"/>
      <c r="B139" s="2"/>
      <c r="C139" s="55"/>
      <c r="D139" s="55"/>
      <c r="E139" s="2"/>
      <c r="F139" s="2"/>
      <c r="G139" s="5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8.75" customHeight="1">
      <c r="A140" s="55"/>
      <c r="B140" s="2"/>
      <c r="C140" s="55"/>
      <c r="D140" s="55"/>
      <c r="E140" s="2"/>
      <c r="F140" s="2"/>
      <c r="G140" s="5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8.75" customHeight="1">
      <c r="A141" s="55"/>
      <c r="B141" s="2"/>
      <c r="C141" s="55"/>
      <c r="D141" s="55"/>
      <c r="E141" s="2"/>
      <c r="F141" s="2"/>
      <c r="G141" s="5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8.75" customHeight="1">
      <c r="A142" s="55"/>
      <c r="B142" s="2"/>
      <c r="C142" s="55"/>
      <c r="D142" s="55"/>
      <c r="E142" s="2"/>
      <c r="F142" s="2"/>
      <c r="G142" s="5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8.75" customHeight="1">
      <c r="A143" s="55"/>
      <c r="B143" s="2"/>
      <c r="C143" s="55"/>
      <c r="D143" s="55"/>
      <c r="E143" s="2"/>
      <c r="F143" s="2"/>
      <c r="G143" s="5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8.75" customHeight="1">
      <c r="A144" s="55"/>
      <c r="B144" s="2"/>
      <c r="C144" s="55"/>
      <c r="D144" s="55"/>
      <c r="E144" s="2"/>
      <c r="F144" s="2"/>
      <c r="G144" s="5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8.75" customHeight="1">
      <c r="A145" s="55"/>
      <c r="B145" s="2"/>
      <c r="C145" s="55"/>
      <c r="D145" s="55"/>
      <c r="E145" s="2"/>
      <c r="F145" s="2"/>
      <c r="G145" s="5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8.75" customHeight="1">
      <c r="A146" s="55"/>
      <c r="B146" s="2"/>
      <c r="C146" s="55"/>
      <c r="D146" s="55"/>
      <c r="E146" s="2"/>
      <c r="F146" s="2"/>
      <c r="G146" s="5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8.75" customHeight="1">
      <c r="A147" s="55"/>
      <c r="B147" s="2"/>
      <c r="C147" s="55"/>
      <c r="D147" s="55"/>
      <c r="E147" s="2"/>
      <c r="F147" s="2"/>
      <c r="G147" s="5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8.75" customHeight="1">
      <c r="A148" s="55"/>
      <c r="B148" s="2"/>
      <c r="C148" s="55"/>
      <c r="D148" s="55"/>
      <c r="E148" s="2"/>
      <c r="F148" s="2"/>
      <c r="G148" s="5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8.75" customHeight="1">
      <c r="A149" s="55"/>
      <c r="B149" s="2"/>
      <c r="C149" s="55"/>
      <c r="D149" s="55"/>
      <c r="E149" s="2"/>
      <c r="F149" s="2"/>
      <c r="G149" s="5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8.75" customHeight="1">
      <c r="A150" s="55"/>
      <c r="B150" s="2"/>
      <c r="C150" s="55"/>
      <c r="D150" s="55"/>
      <c r="E150" s="2"/>
      <c r="F150" s="2"/>
      <c r="G150" s="5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8.75" customHeight="1">
      <c r="A151" s="55"/>
      <c r="B151" s="2"/>
      <c r="C151" s="55"/>
      <c r="D151" s="55"/>
      <c r="E151" s="2"/>
      <c r="F151" s="2"/>
      <c r="G151" s="5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8.75" customHeight="1">
      <c r="A152" s="55"/>
      <c r="B152" s="2"/>
      <c r="C152" s="55"/>
      <c r="D152" s="55"/>
      <c r="E152" s="2"/>
      <c r="F152" s="2"/>
      <c r="G152" s="5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8.75" customHeight="1">
      <c r="A153" s="55"/>
      <c r="B153" s="2"/>
      <c r="C153" s="55"/>
      <c r="D153" s="55"/>
      <c r="E153" s="2"/>
      <c r="F153" s="2"/>
      <c r="G153" s="5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8.75" customHeight="1">
      <c r="A154" s="55"/>
      <c r="B154" s="2"/>
      <c r="C154" s="55"/>
      <c r="D154" s="55"/>
      <c r="E154" s="2"/>
      <c r="F154" s="2"/>
      <c r="G154" s="5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8.75" customHeight="1">
      <c r="A155" s="55"/>
      <c r="B155" s="2"/>
      <c r="C155" s="55"/>
      <c r="D155" s="55"/>
      <c r="E155" s="2"/>
      <c r="F155" s="2"/>
      <c r="G155" s="5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8.75" customHeight="1">
      <c r="A156" s="55"/>
      <c r="B156" s="2"/>
      <c r="C156" s="55"/>
      <c r="D156" s="55"/>
      <c r="E156" s="2"/>
      <c r="F156" s="2"/>
      <c r="G156" s="5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8.75" customHeight="1">
      <c r="A157" s="55"/>
      <c r="B157" s="2"/>
      <c r="C157" s="55"/>
      <c r="D157" s="55"/>
      <c r="E157" s="2"/>
      <c r="F157" s="2"/>
      <c r="G157" s="5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8.75" customHeight="1">
      <c r="A158" s="55"/>
      <c r="B158" s="2"/>
      <c r="C158" s="55"/>
      <c r="D158" s="55"/>
      <c r="E158" s="2"/>
      <c r="F158" s="2"/>
      <c r="G158" s="5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8.75" customHeight="1">
      <c r="A159" s="55"/>
      <c r="B159" s="2"/>
      <c r="C159" s="55"/>
      <c r="D159" s="55"/>
      <c r="E159" s="2"/>
      <c r="F159" s="2"/>
      <c r="G159" s="5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8.75" customHeight="1">
      <c r="A160" s="55"/>
      <c r="B160" s="2"/>
      <c r="C160" s="55"/>
      <c r="D160" s="55"/>
      <c r="E160" s="2"/>
      <c r="F160" s="2"/>
      <c r="G160" s="5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8.75" customHeight="1">
      <c r="A161" s="55"/>
      <c r="B161" s="2"/>
      <c r="C161" s="55"/>
      <c r="D161" s="55"/>
      <c r="E161" s="2"/>
      <c r="F161" s="2"/>
      <c r="G161" s="5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8.75" customHeight="1">
      <c r="A162" s="55"/>
      <c r="B162" s="2"/>
      <c r="C162" s="55"/>
      <c r="D162" s="55"/>
      <c r="E162" s="2"/>
      <c r="F162" s="2"/>
      <c r="G162" s="5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8.75" customHeight="1">
      <c r="A163" s="55"/>
      <c r="B163" s="2"/>
      <c r="C163" s="55"/>
      <c r="D163" s="55"/>
      <c r="E163" s="2"/>
      <c r="F163" s="2"/>
      <c r="G163" s="5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8.75" customHeight="1">
      <c r="A164" s="55"/>
      <c r="B164" s="2"/>
      <c r="C164" s="55"/>
      <c r="D164" s="55"/>
      <c r="E164" s="2"/>
      <c r="F164" s="2"/>
      <c r="G164" s="5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8.75" customHeight="1">
      <c r="A165" s="55"/>
      <c r="B165" s="2"/>
      <c r="C165" s="55"/>
      <c r="D165" s="55"/>
      <c r="E165" s="2"/>
      <c r="F165" s="2"/>
      <c r="G165" s="5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8.75" customHeight="1">
      <c r="A166" s="55"/>
      <c r="B166" s="2"/>
      <c r="C166" s="55"/>
      <c r="D166" s="55"/>
      <c r="E166" s="2"/>
      <c r="F166" s="2"/>
      <c r="G166" s="5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8.75" customHeight="1">
      <c r="A167" s="55"/>
      <c r="B167" s="2"/>
      <c r="C167" s="55"/>
      <c r="D167" s="55"/>
      <c r="E167" s="2"/>
      <c r="F167" s="2"/>
      <c r="G167" s="5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8.75" customHeight="1">
      <c r="A168" s="55"/>
      <c r="B168" s="2"/>
      <c r="C168" s="55"/>
      <c r="D168" s="55"/>
      <c r="E168" s="2"/>
      <c r="F168" s="2"/>
      <c r="G168" s="5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8.75" customHeight="1">
      <c r="A169" s="55"/>
      <c r="B169" s="2"/>
      <c r="C169" s="55"/>
      <c r="D169" s="55"/>
      <c r="E169" s="2"/>
      <c r="F169" s="2"/>
      <c r="G169" s="5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8.75" customHeight="1">
      <c r="A170" s="55"/>
      <c r="B170" s="2"/>
      <c r="C170" s="55"/>
      <c r="D170" s="55"/>
      <c r="E170" s="2"/>
      <c r="F170" s="2"/>
      <c r="G170" s="5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8.75" customHeight="1">
      <c r="A171" s="55"/>
      <c r="B171" s="2"/>
      <c r="C171" s="55"/>
      <c r="D171" s="55"/>
      <c r="E171" s="2"/>
      <c r="F171" s="2"/>
      <c r="G171" s="5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8.75" customHeight="1">
      <c r="A172" s="55"/>
      <c r="B172" s="2"/>
      <c r="C172" s="55"/>
      <c r="D172" s="55"/>
      <c r="E172" s="2"/>
      <c r="F172" s="2"/>
      <c r="G172" s="5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8.75" customHeight="1">
      <c r="A173" s="55"/>
      <c r="B173" s="2"/>
      <c r="C173" s="55"/>
      <c r="D173" s="55"/>
      <c r="E173" s="2"/>
      <c r="F173" s="2"/>
      <c r="G173" s="5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8.75" customHeight="1">
      <c r="A174" s="55"/>
      <c r="B174" s="2"/>
      <c r="C174" s="55"/>
      <c r="D174" s="55"/>
      <c r="E174" s="2"/>
      <c r="F174" s="2"/>
      <c r="G174" s="5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8.75" customHeight="1">
      <c r="A175" s="55"/>
      <c r="B175" s="2"/>
      <c r="C175" s="55"/>
      <c r="D175" s="55"/>
      <c r="E175" s="2"/>
      <c r="F175" s="2"/>
      <c r="G175" s="5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8.75" customHeight="1">
      <c r="A176" s="55"/>
      <c r="B176" s="2"/>
      <c r="C176" s="55"/>
      <c r="D176" s="55"/>
      <c r="E176" s="2"/>
      <c r="F176" s="2"/>
      <c r="G176" s="5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8.75" customHeight="1">
      <c r="A177" s="55"/>
      <c r="B177" s="2"/>
      <c r="C177" s="55"/>
      <c r="D177" s="55"/>
      <c r="E177" s="2"/>
      <c r="F177" s="2"/>
      <c r="G177" s="5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8.75" customHeight="1">
      <c r="A178" s="55"/>
      <c r="B178" s="2"/>
      <c r="C178" s="55"/>
      <c r="D178" s="55"/>
      <c r="E178" s="2"/>
      <c r="F178" s="2"/>
      <c r="G178" s="5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8.75" customHeight="1">
      <c r="A179" s="55"/>
      <c r="B179" s="2"/>
      <c r="C179" s="55"/>
      <c r="D179" s="55"/>
      <c r="E179" s="2"/>
      <c r="F179" s="2"/>
      <c r="G179" s="5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8.75" customHeight="1">
      <c r="A180" s="55"/>
      <c r="B180" s="2"/>
      <c r="C180" s="55"/>
      <c r="D180" s="55"/>
      <c r="E180" s="2"/>
      <c r="F180" s="2"/>
      <c r="G180" s="5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8.75" customHeight="1">
      <c r="A181" s="55"/>
      <c r="B181" s="2"/>
      <c r="C181" s="55"/>
      <c r="D181" s="55"/>
      <c r="E181" s="2"/>
      <c r="F181" s="2"/>
      <c r="G181" s="57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8.75" customHeight="1">
      <c r="A182" s="55"/>
      <c r="B182" s="2"/>
      <c r="C182" s="55"/>
      <c r="D182" s="55"/>
      <c r="E182" s="2"/>
      <c r="F182" s="2"/>
      <c r="G182" s="5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8.75" customHeight="1">
      <c r="A183" s="55"/>
      <c r="B183" s="2"/>
      <c r="C183" s="55"/>
      <c r="D183" s="55"/>
      <c r="E183" s="2"/>
      <c r="F183" s="2"/>
      <c r="G183" s="5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8.75" customHeight="1">
      <c r="A184" s="55"/>
      <c r="B184" s="2"/>
      <c r="C184" s="55"/>
      <c r="D184" s="55"/>
      <c r="E184" s="2"/>
      <c r="F184" s="2"/>
      <c r="G184" s="5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8.75" customHeight="1">
      <c r="A185" s="55"/>
      <c r="B185" s="2"/>
      <c r="C185" s="55"/>
      <c r="D185" s="55"/>
      <c r="E185" s="2"/>
      <c r="F185" s="2"/>
      <c r="G185" s="57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8.75" customHeight="1">
      <c r="A186" s="55"/>
      <c r="B186" s="2"/>
      <c r="C186" s="55"/>
      <c r="D186" s="55"/>
      <c r="E186" s="2"/>
      <c r="F186" s="2"/>
      <c r="G186" s="57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8.75" customHeight="1">
      <c r="A187" s="55"/>
      <c r="B187" s="2"/>
      <c r="C187" s="55"/>
      <c r="D187" s="55"/>
      <c r="E187" s="2"/>
      <c r="F187" s="2"/>
      <c r="G187" s="5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8.75" customHeight="1">
      <c r="A188" s="55"/>
      <c r="B188" s="2"/>
      <c r="C188" s="55"/>
      <c r="D188" s="55"/>
      <c r="E188" s="2"/>
      <c r="F188" s="2"/>
      <c r="G188" s="5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8.75" customHeight="1">
      <c r="A189" s="55"/>
      <c r="B189" s="2"/>
      <c r="C189" s="55"/>
      <c r="D189" s="55"/>
      <c r="E189" s="2"/>
      <c r="F189" s="2"/>
      <c r="G189" s="5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8.75" customHeight="1">
      <c r="A190" s="55"/>
      <c r="B190" s="2"/>
      <c r="C190" s="55"/>
      <c r="D190" s="55"/>
      <c r="E190" s="2"/>
      <c r="F190" s="2"/>
      <c r="G190" s="5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8.75" customHeight="1">
      <c r="A191" s="55"/>
      <c r="B191" s="2"/>
      <c r="C191" s="55"/>
      <c r="D191" s="55"/>
      <c r="E191" s="2"/>
      <c r="F191" s="2"/>
      <c r="G191" s="5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8.75" customHeight="1">
      <c r="A192" s="55"/>
      <c r="B192" s="2"/>
      <c r="C192" s="55"/>
      <c r="D192" s="55"/>
      <c r="E192" s="2"/>
      <c r="F192" s="2"/>
      <c r="G192" s="5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8.75" customHeight="1">
      <c r="A193" s="55"/>
      <c r="B193" s="2"/>
      <c r="C193" s="55"/>
      <c r="D193" s="55"/>
      <c r="E193" s="2"/>
      <c r="F193" s="2"/>
      <c r="G193" s="5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8.75" customHeight="1">
      <c r="A194" s="55"/>
      <c r="B194" s="2"/>
      <c r="C194" s="55"/>
      <c r="D194" s="55"/>
      <c r="E194" s="2"/>
      <c r="F194" s="2"/>
      <c r="G194" s="5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8.75" customHeight="1">
      <c r="A195" s="55"/>
      <c r="B195" s="2"/>
      <c r="C195" s="55"/>
      <c r="D195" s="55"/>
      <c r="E195" s="2"/>
      <c r="F195" s="2"/>
      <c r="G195" s="5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8.75" customHeight="1">
      <c r="A196" s="55"/>
      <c r="B196" s="2"/>
      <c r="C196" s="55"/>
      <c r="D196" s="55"/>
      <c r="E196" s="2"/>
      <c r="F196" s="2"/>
      <c r="G196" s="5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8.75" customHeight="1">
      <c r="A197" s="55"/>
      <c r="B197" s="2"/>
      <c r="C197" s="55"/>
      <c r="D197" s="55"/>
      <c r="E197" s="2"/>
      <c r="F197" s="2"/>
      <c r="G197" s="5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8.75" customHeight="1">
      <c r="A198" s="55"/>
      <c r="B198" s="2"/>
      <c r="C198" s="55"/>
      <c r="D198" s="55"/>
      <c r="E198" s="2"/>
      <c r="F198" s="2"/>
      <c r="G198" s="5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8.75" customHeight="1">
      <c r="A199" s="55"/>
      <c r="B199" s="2"/>
      <c r="C199" s="55"/>
      <c r="D199" s="55"/>
      <c r="E199" s="2"/>
      <c r="F199" s="2"/>
      <c r="G199" s="5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8.75" customHeight="1">
      <c r="A200" s="55"/>
      <c r="B200" s="2"/>
      <c r="C200" s="55"/>
      <c r="D200" s="55"/>
      <c r="E200" s="2"/>
      <c r="F200" s="2"/>
      <c r="G200" s="5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8.75" customHeight="1">
      <c r="A201" s="55"/>
      <c r="B201" s="2"/>
      <c r="C201" s="55"/>
      <c r="D201" s="55"/>
      <c r="E201" s="2"/>
      <c r="F201" s="2"/>
      <c r="G201" s="5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8.75" customHeight="1">
      <c r="A202" s="55"/>
      <c r="B202" s="2"/>
      <c r="C202" s="55"/>
      <c r="D202" s="55"/>
      <c r="E202" s="2"/>
      <c r="F202" s="2"/>
      <c r="G202" s="5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8.75" customHeight="1">
      <c r="A203" s="55"/>
      <c r="B203" s="2"/>
      <c r="C203" s="55"/>
      <c r="D203" s="55"/>
      <c r="E203" s="2"/>
      <c r="F203" s="2"/>
      <c r="G203" s="5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8.75" customHeight="1">
      <c r="A204" s="55"/>
      <c r="B204" s="2"/>
      <c r="C204" s="55"/>
      <c r="D204" s="55"/>
      <c r="E204" s="2"/>
      <c r="F204" s="2"/>
      <c r="G204" s="5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8.75" customHeight="1">
      <c r="A205" s="55"/>
      <c r="B205" s="2"/>
      <c r="C205" s="55"/>
      <c r="D205" s="55"/>
      <c r="E205" s="2"/>
      <c r="F205" s="2"/>
      <c r="G205" s="5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8.75" customHeight="1">
      <c r="A206" s="55"/>
      <c r="B206" s="2"/>
      <c r="C206" s="55"/>
      <c r="D206" s="55"/>
      <c r="E206" s="2"/>
      <c r="F206" s="2"/>
      <c r="G206" s="5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8.75" customHeight="1">
      <c r="A207" s="55"/>
      <c r="B207" s="2"/>
      <c r="C207" s="55"/>
      <c r="D207" s="55"/>
      <c r="E207" s="2"/>
      <c r="F207" s="2"/>
      <c r="G207" s="5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8.75" customHeight="1">
      <c r="A208" s="55"/>
      <c r="B208" s="2"/>
      <c r="C208" s="55"/>
      <c r="D208" s="55"/>
      <c r="E208" s="2"/>
      <c r="F208" s="2"/>
      <c r="G208" s="5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8.75" customHeight="1">
      <c r="A209" s="55"/>
      <c r="B209" s="2"/>
      <c r="C209" s="55"/>
      <c r="D209" s="55"/>
      <c r="E209" s="2"/>
      <c r="F209" s="2"/>
      <c r="G209" s="5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8.75" customHeight="1">
      <c r="A210" s="55"/>
      <c r="B210" s="2"/>
      <c r="C210" s="55"/>
      <c r="D210" s="55"/>
      <c r="E210" s="2"/>
      <c r="F210" s="2"/>
      <c r="G210" s="5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8.75" customHeight="1">
      <c r="A211" s="55"/>
      <c r="B211" s="2"/>
      <c r="C211" s="55"/>
      <c r="D211" s="55"/>
      <c r="E211" s="2"/>
      <c r="F211" s="2"/>
      <c r="G211" s="5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</sheetData>
  <mergeCells count="9">
    <mergeCell ref="C8:D8"/>
    <mergeCell ref="A10:G10"/>
    <mergeCell ref="A1:G1"/>
    <mergeCell ref="A2:E2"/>
    <mergeCell ref="A3:E3"/>
    <mergeCell ref="C4:D4"/>
    <mergeCell ref="C5:D5"/>
    <mergeCell ref="C6:D6"/>
    <mergeCell ref="C7:D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4" width="14.0"/>
    <col customWidth="1" min="5" max="5" width="17.0"/>
    <col customWidth="1" min="6" max="6" width="14.0"/>
    <col customWidth="1" min="7" max="7" width="19.0"/>
    <col customWidth="1" min="8" max="9" width="17.0"/>
    <col customWidth="1" min="10" max="26" width="14.0"/>
  </cols>
  <sheetData>
    <row r="1" ht="18.75" customHeight="1">
      <c r="A1" s="58" t="s">
        <v>3</v>
      </c>
      <c r="B1" s="58" t="s">
        <v>82</v>
      </c>
      <c r="C1" s="58" t="s">
        <v>83</v>
      </c>
      <c r="D1" s="58" t="s">
        <v>84</v>
      </c>
      <c r="E1" s="58" t="s">
        <v>85</v>
      </c>
      <c r="F1" s="58" t="s">
        <v>84</v>
      </c>
      <c r="G1" s="59" t="s">
        <v>86</v>
      </c>
      <c r="H1" s="60" t="s">
        <v>84</v>
      </c>
      <c r="I1" s="60" t="s">
        <v>87</v>
      </c>
      <c r="J1" s="2"/>
      <c r="K1" s="2"/>
    </row>
    <row r="2" ht="18.75" customHeight="1">
      <c r="A2" s="51">
        <v>1.0</v>
      </c>
      <c r="B2" s="54" t="s">
        <v>88</v>
      </c>
      <c r="C2" s="61">
        <v>128.0</v>
      </c>
      <c r="D2" s="51">
        <v>0.5</v>
      </c>
      <c r="E2" s="62">
        <f t="shared" ref="E2:E14" si="1">C2*D2</f>
        <v>64</v>
      </c>
      <c r="F2" s="51"/>
      <c r="G2" s="63"/>
      <c r="H2" s="52"/>
      <c r="I2" s="64"/>
    </row>
    <row r="3" ht="18.75" customHeight="1">
      <c r="A3" s="51">
        <v>2.0</v>
      </c>
      <c r="B3" s="54" t="s">
        <v>89</v>
      </c>
      <c r="C3" s="61">
        <f>C4/2</f>
        <v>55</v>
      </c>
      <c r="D3" s="51">
        <v>2.0</v>
      </c>
      <c r="E3" s="62">
        <f t="shared" si="1"/>
        <v>110</v>
      </c>
      <c r="F3" s="51">
        <v>0.7</v>
      </c>
      <c r="G3" s="63">
        <f t="shared" ref="G3:G13" si="2">C3*F3</f>
        <v>38.5</v>
      </c>
      <c r="H3" s="52"/>
      <c r="I3" s="64"/>
    </row>
    <row r="4" ht="18.75" customHeight="1">
      <c r="A4" s="51">
        <v>3.0</v>
      </c>
      <c r="B4" s="54" t="s">
        <v>90</v>
      </c>
      <c r="C4" s="61">
        <v>110.0</v>
      </c>
      <c r="D4" s="51">
        <v>1.0</v>
      </c>
      <c r="E4" s="62">
        <f t="shared" si="1"/>
        <v>110</v>
      </c>
      <c r="F4" s="51">
        <v>1.0</v>
      </c>
      <c r="G4" s="63">
        <f t="shared" si="2"/>
        <v>110</v>
      </c>
      <c r="H4" s="52"/>
      <c r="I4" s="64"/>
    </row>
    <row r="5" ht="18.75" customHeight="1">
      <c r="A5" s="51">
        <v>4.0</v>
      </c>
      <c r="B5" s="54" t="s">
        <v>91</v>
      </c>
      <c r="C5" s="61">
        <f>C4*0.65</f>
        <v>71.5</v>
      </c>
      <c r="D5" s="51">
        <v>1.0</v>
      </c>
      <c r="E5" s="62">
        <f t="shared" si="1"/>
        <v>71.5</v>
      </c>
      <c r="F5" s="51">
        <v>1.0</v>
      </c>
      <c r="G5" s="63">
        <f t="shared" si="2"/>
        <v>71.5</v>
      </c>
      <c r="H5" s="52"/>
      <c r="I5" s="64"/>
    </row>
    <row r="6" ht="18.75" customHeight="1">
      <c r="A6" s="51">
        <v>5.0</v>
      </c>
      <c r="B6" s="54" t="s">
        <v>92</v>
      </c>
      <c r="C6" s="61">
        <f>C4-C5</f>
        <v>38.5</v>
      </c>
      <c r="D6" s="51">
        <v>0.5</v>
      </c>
      <c r="E6" s="62">
        <f t="shared" si="1"/>
        <v>19.25</v>
      </c>
      <c r="F6" s="51">
        <v>0.5</v>
      </c>
      <c r="G6" s="63">
        <f t="shared" si="2"/>
        <v>19.25</v>
      </c>
      <c r="H6" s="52"/>
      <c r="I6" s="64"/>
    </row>
    <row r="7" ht="18.75" customHeight="1">
      <c r="A7" s="51">
        <v>6.0</v>
      </c>
      <c r="B7" s="54" t="s">
        <v>93</v>
      </c>
      <c r="C7" s="61">
        <f>C4</f>
        <v>110</v>
      </c>
      <c r="D7" s="51">
        <v>1.0</v>
      </c>
      <c r="E7" s="62">
        <f t="shared" si="1"/>
        <v>110</v>
      </c>
      <c r="F7" s="51">
        <v>1.0</v>
      </c>
      <c r="G7" s="63">
        <f t="shared" si="2"/>
        <v>110</v>
      </c>
      <c r="H7" s="52"/>
      <c r="I7" s="64"/>
    </row>
    <row r="8" ht="18.75" customHeight="1">
      <c r="A8" s="51">
        <v>7.0</v>
      </c>
      <c r="B8" s="54" t="s">
        <v>94</v>
      </c>
      <c r="C8" s="61">
        <f t="shared" ref="C8:C9" si="3">C7</f>
        <v>110</v>
      </c>
      <c r="D8" s="51">
        <v>1.0</v>
      </c>
      <c r="E8" s="62">
        <f t="shared" si="1"/>
        <v>110</v>
      </c>
      <c r="F8" s="51">
        <v>1.0</v>
      </c>
      <c r="G8" s="63">
        <f t="shared" si="2"/>
        <v>110</v>
      </c>
      <c r="H8" s="52"/>
      <c r="I8" s="64"/>
    </row>
    <row r="9" ht="18.75" customHeight="1">
      <c r="A9" s="51">
        <v>8.0</v>
      </c>
      <c r="B9" s="54" t="s">
        <v>95</v>
      </c>
      <c r="C9" s="61">
        <f t="shared" si="3"/>
        <v>110</v>
      </c>
      <c r="D9" s="51">
        <v>1.0</v>
      </c>
      <c r="E9" s="62">
        <f t="shared" si="1"/>
        <v>110</v>
      </c>
      <c r="F9" s="51">
        <v>1.0</v>
      </c>
      <c r="G9" s="63">
        <f t="shared" si="2"/>
        <v>110</v>
      </c>
      <c r="H9" s="52"/>
      <c r="I9" s="64"/>
    </row>
    <row r="10" ht="18.75" customHeight="1">
      <c r="A10" s="51">
        <v>9.0</v>
      </c>
      <c r="B10" s="65" t="s">
        <v>96</v>
      </c>
      <c r="C10" s="66">
        <f>C9*0.3</f>
        <v>33</v>
      </c>
      <c r="D10" s="51">
        <v>1.0</v>
      </c>
      <c r="E10" s="62">
        <f t="shared" si="1"/>
        <v>33</v>
      </c>
      <c r="F10" s="51">
        <v>1.0</v>
      </c>
      <c r="G10" s="63">
        <f t="shared" si="2"/>
        <v>33</v>
      </c>
      <c r="H10" s="52"/>
      <c r="I10" s="64"/>
    </row>
    <row r="11" ht="18.75" customHeight="1">
      <c r="A11" s="51">
        <v>10.0</v>
      </c>
      <c r="B11" s="65" t="s">
        <v>97</v>
      </c>
      <c r="C11" s="66">
        <f>C9-C10</f>
        <v>77</v>
      </c>
      <c r="D11" s="67">
        <v>0.5</v>
      </c>
      <c r="E11" s="62">
        <f t="shared" si="1"/>
        <v>38.5</v>
      </c>
      <c r="F11" s="51">
        <v>0.3</v>
      </c>
      <c r="G11" s="63">
        <f t="shared" si="2"/>
        <v>23.1</v>
      </c>
      <c r="H11" s="52"/>
      <c r="I11" s="64"/>
    </row>
    <row r="12" ht="18.75" customHeight="1">
      <c r="A12" s="51">
        <v>11.0</v>
      </c>
      <c r="B12" s="65" t="s">
        <v>98</v>
      </c>
      <c r="C12" s="66">
        <f>C10</f>
        <v>33</v>
      </c>
      <c r="D12" s="67">
        <v>0.5</v>
      </c>
      <c r="E12" s="62">
        <f t="shared" si="1"/>
        <v>16.5</v>
      </c>
      <c r="F12" s="51">
        <v>0.5</v>
      </c>
      <c r="G12" s="63">
        <f t="shared" si="2"/>
        <v>16.5</v>
      </c>
      <c r="H12" s="52"/>
      <c r="I12" s="64"/>
    </row>
    <row r="13" ht="18.75" customHeight="1">
      <c r="A13" s="51">
        <v>13.0</v>
      </c>
      <c r="B13" s="65" t="s">
        <v>99</v>
      </c>
      <c r="C13" s="66">
        <f>C2-C4</f>
        <v>18</v>
      </c>
      <c r="D13" s="67">
        <v>0.5</v>
      </c>
      <c r="E13" s="62">
        <f t="shared" si="1"/>
        <v>9</v>
      </c>
      <c r="F13" s="51">
        <v>0.3</v>
      </c>
      <c r="G13" s="63">
        <f t="shared" si="2"/>
        <v>5.4</v>
      </c>
      <c r="H13" s="52"/>
      <c r="I13" s="64"/>
    </row>
    <row r="14" ht="18.75" customHeight="1">
      <c r="A14" s="51">
        <v>14.0</v>
      </c>
      <c r="B14" s="65" t="s">
        <v>100</v>
      </c>
      <c r="C14" s="66">
        <f>2*2.2</f>
        <v>4.4</v>
      </c>
      <c r="D14" s="67">
        <v>2.0</v>
      </c>
      <c r="E14" s="62">
        <f t="shared" si="1"/>
        <v>8.8</v>
      </c>
      <c r="F14" s="51"/>
      <c r="G14" s="63"/>
      <c r="H14" s="52"/>
      <c r="I14" s="64"/>
    </row>
    <row r="15" ht="18.75" customHeight="1">
      <c r="A15" s="68" t="s">
        <v>101</v>
      </c>
      <c r="B15" s="4"/>
      <c r="C15" s="5"/>
      <c r="D15" s="69">
        <f>SUM(E2:E14)</f>
        <v>810.55</v>
      </c>
      <c r="E15" s="5"/>
      <c r="F15" s="70">
        <f>SUM(G2:G14)</f>
        <v>647.25</v>
      </c>
      <c r="G15" s="71"/>
      <c r="H15" s="70">
        <f>SUM(I2:I12)</f>
        <v>0</v>
      </c>
      <c r="I15" s="71"/>
      <c r="K15" s="72"/>
    </row>
    <row r="16" ht="18.75" customHeight="1">
      <c r="A16" s="55"/>
    </row>
    <row r="17" ht="18.75" customHeight="1">
      <c r="A17" s="55"/>
    </row>
    <row r="18" ht="18.75" customHeight="1">
      <c r="A18" s="55"/>
      <c r="H18" s="72"/>
    </row>
    <row r="19" ht="18.75" customHeight="1">
      <c r="A19" s="55"/>
    </row>
    <row r="20" ht="18.75" customHeight="1">
      <c r="A20" s="55"/>
    </row>
    <row r="21" ht="18.75" customHeight="1">
      <c r="A21" s="55"/>
    </row>
    <row r="22" ht="18.75" customHeight="1">
      <c r="A22" s="55"/>
    </row>
    <row r="23" ht="18.75" customHeight="1">
      <c r="A23" s="55"/>
    </row>
    <row r="24" ht="18.75" customHeight="1">
      <c r="A24" s="55"/>
    </row>
    <row r="25" ht="18.75" customHeight="1">
      <c r="A25" s="55"/>
    </row>
    <row r="26" ht="18.75" customHeight="1">
      <c r="A26" s="55"/>
    </row>
    <row r="27" ht="18.75" customHeight="1">
      <c r="A27" s="55"/>
    </row>
    <row r="28" ht="18.75" customHeight="1">
      <c r="A28" s="55"/>
    </row>
    <row r="29" ht="18.75" customHeight="1">
      <c r="A29" s="55"/>
    </row>
    <row r="30" ht="18.75" customHeight="1">
      <c r="A30" s="55"/>
    </row>
    <row r="31" ht="18.75" customHeight="1">
      <c r="A31" s="55"/>
    </row>
    <row r="32" ht="18.75" customHeight="1">
      <c r="A32" s="55"/>
    </row>
    <row r="33" ht="18.75" customHeight="1">
      <c r="A33" s="55"/>
    </row>
    <row r="34" ht="18.75" customHeight="1">
      <c r="A34" s="55"/>
    </row>
    <row r="35" ht="18.75" customHeight="1">
      <c r="A35" s="55"/>
    </row>
    <row r="36" ht="18.75" customHeight="1">
      <c r="A36" s="55"/>
    </row>
    <row r="37" ht="18.75" customHeight="1">
      <c r="A37" s="55"/>
    </row>
    <row r="38" ht="18.75" customHeight="1">
      <c r="A38" s="55"/>
    </row>
    <row r="39" ht="18.75" customHeight="1">
      <c r="A39" s="55"/>
    </row>
    <row r="40" ht="18.75" customHeight="1">
      <c r="A40" s="55"/>
    </row>
    <row r="41" ht="18.75" customHeight="1">
      <c r="A41" s="55"/>
    </row>
    <row r="42" ht="18.75" customHeight="1">
      <c r="A42" s="55"/>
    </row>
    <row r="43" ht="18.75" customHeight="1">
      <c r="A43" s="55"/>
    </row>
    <row r="44" ht="18.75" customHeight="1">
      <c r="A44" s="55"/>
    </row>
    <row r="45" ht="18.75" customHeight="1">
      <c r="A45" s="55"/>
    </row>
    <row r="46" ht="18.75" customHeight="1">
      <c r="A46" s="55"/>
    </row>
    <row r="47" ht="18.75" customHeight="1">
      <c r="A47" s="55"/>
    </row>
    <row r="48" ht="18.75" customHeight="1">
      <c r="A48" s="55"/>
    </row>
    <row r="49" ht="18.75" customHeight="1">
      <c r="A49" s="55"/>
    </row>
    <row r="50" ht="18.75" customHeight="1">
      <c r="A50" s="55"/>
    </row>
    <row r="51" ht="18.75" customHeight="1">
      <c r="A51" s="55"/>
    </row>
    <row r="52" ht="18.75" customHeight="1">
      <c r="A52" s="55"/>
    </row>
    <row r="53" ht="18.75" customHeight="1">
      <c r="A53" s="55"/>
    </row>
    <row r="54" ht="18.75" customHeight="1">
      <c r="A54" s="55"/>
    </row>
    <row r="55" ht="18.75" customHeight="1">
      <c r="A55" s="55"/>
    </row>
    <row r="56" ht="18.75" customHeight="1">
      <c r="A56" s="55"/>
    </row>
    <row r="57" ht="18.75" customHeight="1">
      <c r="A57" s="55"/>
    </row>
    <row r="58" ht="18.75" customHeight="1">
      <c r="A58" s="55"/>
    </row>
    <row r="59" ht="18.75" customHeight="1">
      <c r="A59" s="55"/>
    </row>
    <row r="60" ht="18.75" customHeight="1">
      <c r="A60" s="55"/>
    </row>
    <row r="61" ht="18.75" customHeight="1">
      <c r="A61" s="55"/>
    </row>
    <row r="62" ht="18.75" customHeight="1">
      <c r="A62" s="55"/>
    </row>
    <row r="63" ht="18.75" customHeight="1">
      <c r="A63" s="55"/>
    </row>
    <row r="64" ht="18.75" customHeight="1">
      <c r="A64" s="55"/>
    </row>
    <row r="65" ht="18.75" customHeight="1">
      <c r="A65" s="55"/>
    </row>
    <row r="66" ht="18.75" customHeight="1">
      <c r="A66" s="55"/>
    </row>
    <row r="67" ht="18.75" customHeight="1">
      <c r="A67" s="55"/>
    </row>
    <row r="68" ht="18.75" customHeight="1">
      <c r="A68" s="55"/>
    </row>
    <row r="69" ht="18.75" customHeight="1">
      <c r="A69" s="55"/>
    </row>
    <row r="70" ht="18.75" customHeight="1">
      <c r="A70" s="55"/>
    </row>
    <row r="71" ht="18.75" customHeight="1">
      <c r="A71" s="55"/>
    </row>
    <row r="72" ht="18.75" customHeight="1">
      <c r="A72" s="55"/>
    </row>
    <row r="73" ht="18.75" customHeight="1">
      <c r="A73" s="55"/>
    </row>
    <row r="74" ht="18.75" customHeight="1">
      <c r="A74" s="55"/>
    </row>
    <row r="75" ht="18.75" customHeight="1">
      <c r="A75" s="55"/>
    </row>
    <row r="76" ht="18.75" customHeight="1">
      <c r="A76" s="55"/>
    </row>
    <row r="77" ht="18.75" customHeight="1">
      <c r="A77" s="55"/>
    </row>
    <row r="78" ht="18.75" customHeight="1">
      <c r="A78" s="55"/>
    </row>
    <row r="79" ht="18.75" customHeight="1">
      <c r="A79" s="55"/>
    </row>
    <row r="80" ht="18.75" customHeight="1">
      <c r="A80" s="55"/>
    </row>
    <row r="81" ht="18.75" customHeight="1">
      <c r="A81" s="55"/>
    </row>
    <row r="82" ht="18.75" customHeight="1">
      <c r="A82" s="55"/>
    </row>
    <row r="83" ht="18.75" customHeight="1">
      <c r="A83" s="55"/>
    </row>
    <row r="84" ht="18.75" customHeight="1">
      <c r="A84" s="55"/>
    </row>
    <row r="85" ht="18.75" customHeight="1">
      <c r="A85" s="55"/>
    </row>
    <row r="86" ht="18.75" customHeight="1">
      <c r="A86" s="55"/>
    </row>
    <row r="87" ht="18.75" customHeight="1">
      <c r="A87" s="55"/>
    </row>
    <row r="88" ht="18.75" customHeight="1">
      <c r="A88" s="55"/>
    </row>
    <row r="89" ht="18.75" customHeight="1">
      <c r="A89" s="55"/>
    </row>
    <row r="90" ht="18.75" customHeight="1">
      <c r="A90" s="55"/>
    </row>
    <row r="91" ht="18.75" customHeight="1">
      <c r="A91" s="55"/>
    </row>
    <row r="92" ht="18.75" customHeight="1">
      <c r="A92" s="55"/>
    </row>
    <row r="93" ht="18.75" customHeight="1">
      <c r="A93" s="55"/>
    </row>
    <row r="94" ht="18.75" customHeight="1">
      <c r="A94" s="55"/>
    </row>
    <row r="95" ht="18.75" customHeight="1">
      <c r="A95" s="55"/>
    </row>
    <row r="96" ht="18.75" customHeight="1">
      <c r="A96" s="55"/>
    </row>
    <row r="97" ht="18.75" customHeight="1">
      <c r="A97" s="55"/>
    </row>
    <row r="98" ht="18.75" customHeight="1">
      <c r="A98" s="55"/>
    </row>
    <row r="99" ht="18.75" customHeight="1">
      <c r="A99" s="55"/>
    </row>
    <row r="100" ht="18.75" customHeight="1">
      <c r="A100" s="55"/>
    </row>
    <row r="101" ht="18.75" customHeight="1">
      <c r="A101" s="55"/>
    </row>
    <row r="102" ht="18.75" customHeight="1">
      <c r="A102" s="55"/>
    </row>
    <row r="103" ht="18.75" customHeight="1">
      <c r="A103" s="55"/>
    </row>
    <row r="104" ht="18.75" customHeight="1">
      <c r="A104" s="55"/>
    </row>
    <row r="105" ht="18.75" customHeight="1">
      <c r="A105" s="55"/>
    </row>
    <row r="106" ht="18.75" customHeight="1">
      <c r="A106" s="55"/>
    </row>
    <row r="107" ht="18.75" customHeight="1">
      <c r="A107" s="55"/>
    </row>
    <row r="108" ht="18.75" customHeight="1">
      <c r="A108" s="55"/>
    </row>
    <row r="109" ht="18.75" customHeight="1">
      <c r="A109" s="55"/>
    </row>
    <row r="110" ht="18.75" customHeight="1">
      <c r="A110" s="55"/>
    </row>
    <row r="111" ht="18.75" customHeight="1">
      <c r="A111" s="55"/>
    </row>
    <row r="112" ht="18.75" customHeight="1">
      <c r="A112" s="55"/>
    </row>
    <row r="113" ht="18.75" customHeight="1">
      <c r="A113" s="55"/>
    </row>
    <row r="114" ht="18.75" customHeight="1">
      <c r="A114" s="55"/>
    </row>
    <row r="115" ht="18.75" customHeight="1">
      <c r="A115" s="55"/>
    </row>
    <row r="116" ht="18.75" customHeight="1">
      <c r="A116" s="55"/>
    </row>
    <row r="117" ht="18.75" customHeight="1">
      <c r="A117" s="55"/>
    </row>
    <row r="118" ht="18.75" customHeight="1">
      <c r="A118" s="55"/>
    </row>
    <row r="119" ht="18.75" customHeight="1">
      <c r="A119" s="55"/>
    </row>
    <row r="120" ht="18.75" customHeight="1">
      <c r="A120" s="55"/>
    </row>
    <row r="121" ht="18.75" customHeight="1">
      <c r="A121" s="55"/>
    </row>
    <row r="122" ht="18.75" customHeight="1">
      <c r="A122" s="55"/>
    </row>
    <row r="123" ht="18.75" customHeight="1">
      <c r="A123" s="55"/>
    </row>
    <row r="124" ht="18.75" customHeight="1">
      <c r="A124" s="55"/>
    </row>
    <row r="125" ht="18.75" customHeight="1">
      <c r="A125" s="55"/>
    </row>
    <row r="126" ht="18.75" customHeight="1">
      <c r="A126" s="55"/>
    </row>
    <row r="127" ht="18.75" customHeight="1">
      <c r="A127" s="55"/>
    </row>
    <row r="128" ht="18.75" customHeight="1">
      <c r="A128" s="55"/>
    </row>
    <row r="129" ht="18.75" customHeight="1">
      <c r="A129" s="55"/>
    </row>
    <row r="130" ht="18.75" customHeight="1">
      <c r="A130" s="55"/>
    </row>
    <row r="131" ht="18.75" customHeight="1">
      <c r="A131" s="55"/>
    </row>
    <row r="132" ht="18.75" customHeight="1">
      <c r="A132" s="55"/>
    </row>
    <row r="133" ht="18.75" customHeight="1">
      <c r="A133" s="55"/>
    </row>
    <row r="134" ht="18.75" customHeight="1">
      <c r="A134" s="55"/>
    </row>
    <row r="135" ht="18.75" customHeight="1">
      <c r="A135" s="55"/>
    </row>
    <row r="136" ht="18.75" customHeight="1">
      <c r="A136" s="55"/>
    </row>
    <row r="137" ht="18.75" customHeight="1">
      <c r="A137" s="55"/>
    </row>
    <row r="138" ht="18.75" customHeight="1">
      <c r="A138" s="55"/>
    </row>
    <row r="139" ht="18.75" customHeight="1">
      <c r="A139" s="55"/>
    </row>
    <row r="140" ht="18.75" customHeight="1">
      <c r="A140" s="55"/>
    </row>
    <row r="141" ht="18.75" customHeight="1">
      <c r="A141" s="55"/>
    </row>
    <row r="142" ht="18.75" customHeight="1">
      <c r="A142" s="55"/>
    </row>
    <row r="143" ht="18.75" customHeight="1">
      <c r="A143" s="55"/>
    </row>
    <row r="144" ht="18.75" customHeight="1">
      <c r="A144" s="55"/>
    </row>
    <row r="145" ht="18.75" customHeight="1">
      <c r="A145" s="55"/>
    </row>
    <row r="146" ht="18.75" customHeight="1">
      <c r="A146" s="55"/>
    </row>
    <row r="147" ht="18.75" customHeight="1">
      <c r="A147" s="55"/>
    </row>
    <row r="148" ht="18.75" customHeight="1">
      <c r="A148" s="55"/>
    </row>
    <row r="149" ht="18.75" customHeight="1">
      <c r="A149" s="55"/>
    </row>
    <row r="150" ht="18.75" customHeight="1">
      <c r="A150" s="55"/>
    </row>
    <row r="151" ht="18.75" customHeight="1">
      <c r="A151" s="55"/>
    </row>
    <row r="152" ht="18.75" customHeight="1">
      <c r="A152" s="55"/>
    </row>
    <row r="153" ht="18.75" customHeight="1">
      <c r="A153" s="55"/>
    </row>
    <row r="154" ht="18.75" customHeight="1">
      <c r="A154" s="55"/>
    </row>
    <row r="155" ht="18.75" customHeight="1">
      <c r="A155" s="55"/>
    </row>
    <row r="156" ht="18.75" customHeight="1">
      <c r="A156" s="55"/>
    </row>
    <row r="157" ht="18.75" customHeight="1">
      <c r="A157" s="55"/>
    </row>
    <row r="158" ht="18.75" customHeight="1">
      <c r="A158" s="55"/>
    </row>
    <row r="159" ht="18.75" customHeight="1">
      <c r="A159" s="55"/>
    </row>
    <row r="160" ht="18.75" customHeight="1">
      <c r="A160" s="55"/>
    </row>
    <row r="161" ht="18.75" customHeight="1">
      <c r="A161" s="55"/>
    </row>
    <row r="162" ht="18.75" customHeight="1">
      <c r="A162" s="55"/>
    </row>
    <row r="163" ht="18.75" customHeight="1">
      <c r="A163" s="55"/>
    </row>
    <row r="164" ht="18.75" customHeight="1">
      <c r="A164" s="55"/>
    </row>
    <row r="165" ht="18.75" customHeight="1">
      <c r="A165" s="55"/>
    </row>
    <row r="166" ht="18.75" customHeight="1">
      <c r="A166" s="55"/>
    </row>
    <row r="167" ht="18.75" customHeight="1">
      <c r="A167" s="55"/>
    </row>
    <row r="168" ht="18.75" customHeight="1">
      <c r="A168" s="55"/>
    </row>
    <row r="169" ht="18.75" customHeight="1">
      <c r="A169" s="55"/>
    </row>
    <row r="170" ht="18.75" customHeight="1">
      <c r="A170" s="55"/>
    </row>
    <row r="171" ht="18.75" customHeight="1">
      <c r="A171" s="55"/>
    </row>
    <row r="172" ht="18.75" customHeight="1">
      <c r="A172" s="55"/>
    </row>
    <row r="173" ht="18.75" customHeight="1">
      <c r="A173" s="55"/>
    </row>
    <row r="174" ht="18.75" customHeight="1">
      <c r="A174" s="55"/>
    </row>
    <row r="175" ht="18.75" customHeight="1">
      <c r="A175" s="55"/>
    </row>
    <row r="176" ht="18.75" customHeight="1">
      <c r="A176" s="55"/>
    </row>
    <row r="177" ht="18.75" customHeight="1">
      <c r="A177" s="55"/>
    </row>
    <row r="178" ht="18.75" customHeight="1">
      <c r="A178" s="55"/>
    </row>
    <row r="179" ht="18.75" customHeight="1">
      <c r="A179" s="55"/>
    </row>
    <row r="180" ht="18.75" customHeight="1">
      <c r="A180" s="55"/>
    </row>
    <row r="181" ht="18.75" customHeight="1">
      <c r="A181" s="55"/>
    </row>
    <row r="182" ht="18.75" customHeight="1">
      <c r="A182" s="55"/>
    </row>
    <row r="183" ht="18.75" customHeight="1">
      <c r="A183" s="55"/>
    </row>
    <row r="184" ht="18.75" customHeight="1">
      <c r="A184" s="55"/>
    </row>
    <row r="185" ht="18.75" customHeight="1">
      <c r="A185" s="55"/>
    </row>
    <row r="186" ht="18.75" customHeight="1">
      <c r="A186" s="55"/>
    </row>
    <row r="187" ht="18.75" customHeight="1">
      <c r="A187" s="55"/>
    </row>
    <row r="188" ht="18.75" customHeight="1">
      <c r="A188" s="55"/>
    </row>
    <row r="189" ht="18.75" customHeight="1">
      <c r="A189" s="55"/>
    </row>
    <row r="190" ht="18.75" customHeight="1">
      <c r="A190" s="55"/>
    </row>
    <row r="191" ht="18.75" customHeight="1">
      <c r="A191" s="55"/>
    </row>
    <row r="192" ht="18.75" customHeight="1">
      <c r="A192" s="55"/>
    </row>
    <row r="193" ht="18.75" customHeight="1">
      <c r="A193" s="55"/>
    </row>
    <row r="194" ht="18.75" customHeight="1">
      <c r="A194" s="55"/>
    </row>
    <row r="195" ht="18.75" customHeight="1">
      <c r="A195" s="55"/>
    </row>
    <row r="196" ht="18.75" customHeight="1">
      <c r="A196" s="55"/>
    </row>
    <row r="197" ht="18.75" customHeight="1">
      <c r="A197" s="55"/>
    </row>
    <row r="198" ht="18.75" customHeight="1">
      <c r="A198" s="55"/>
    </row>
    <row r="199" ht="18.75" customHeight="1">
      <c r="A199" s="55"/>
    </row>
    <row r="200" ht="18.75" customHeight="1">
      <c r="A200" s="55"/>
    </row>
    <row r="201" ht="18.75" customHeight="1">
      <c r="A201" s="55"/>
    </row>
    <row r="202" ht="18.75" customHeight="1">
      <c r="A202" s="55"/>
    </row>
    <row r="203" ht="18.75" customHeight="1">
      <c r="A203" s="55"/>
    </row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">
    <mergeCell ref="A15:C15"/>
    <mergeCell ref="D15:E15"/>
    <mergeCell ref="F15:G15"/>
    <mergeCell ref="H15:I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48.0"/>
    <col customWidth="1" min="3" max="5" width="19.0"/>
    <col customWidth="1" min="6" max="6" width="21.0"/>
    <col customWidth="1" min="7" max="7" width="52.0"/>
    <col customWidth="1" min="8" max="8" width="24.0"/>
    <col customWidth="1" min="9" max="26" width="14.0"/>
  </cols>
  <sheetData>
    <row r="1" ht="28.5" customHeight="1">
      <c r="A1" s="1" t="s">
        <v>102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28.5" customHeight="1">
      <c r="A2" s="3" t="s">
        <v>1</v>
      </c>
      <c r="B2" s="4"/>
      <c r="C2" s="4"/>
      <c r="D2" s="4"/>
      <c r="E2" s="5"/>
      <c r="F2" s="6">
        <f>F53</f>
        <v>6083020873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8.75" customHeight="1">
      <c r="A3" s="7" t="s">
        <v>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24.0" customHeight="1">
      <c r="A4" s="8" t="s">
        <v>3</v>
      </c>
      <c r="B4" s="8" t="s">
        <v>4</v>
      </c>
      <c r="C4" s="9" t="s">
        <v>5</v>
      </c>
      <c r="D4" s="5"/>
      <c r="E4" s="10" t="s">
        <v>6</v>
      </c>
      <c r="F4" s="10" t="s">
        <v>7</v>
      </c>
      <c r="G4" s="11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24.0" customHeight="1">
      <c r="A5" s="12">
        <v>1.0</v>
      </c>
      <c r="B5" s="13" t="s">
        <v>8</v>
      </c>
      <c r="C5" s="14">
        <f>'m2 xây dựng_PA 2 lầu'!D11</f>
        <v>579.55</v>
      </c>
      <c r="D5" s="15"/>
      <c r="E5" s="16">
        <v>3900000.0</v>
      </c>
      <c r="F5" s="17">
        <f t="shared" ref="F5:F7" si="1">C5*E5</f>
        <v>2260245000</v>
      </c>
      <c r="G5" s="11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24.0" customHeight="1">
      <c r="A6" s="18">
        <v>2.0</v>
      </c>
      <c r="B6" s="19" t="s">
        <v>9</v>
      </c>
      <c r="C6" s="20">
        <f>'m2 xây dựng_PA 2 lầu'!F11</f>
        <v>481.15</v>
      </c>
      <c r="D6" s="5"/>
      <c r="E6" s="21">
        <v>3200000.0</v>
      </c>
      <c r="F6" s="17">
        <f t="shared" si="1"/>
        <v>1539680000</v>
      </c>
      <c r="G6" s="1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24.0" customHeight="1">
      <c r="A7" s="18">
        <v>3.0</v>
      </c>
      <c r="B7" s="19" t="s">
        <v>10</v>
      </c>
      <c r="C7" s="20">
        <f>'m2 xây dựng_PA 2 lầu'!C5</f>
        <v>38.5</v>
      </c>
      <c r="D7" s="5"/>
      <c r="E7" s="21">
        <v>5100000.0</v>
      </c>
      <c r="F7" s="17">
        <f t="shared" si="1"/>
        <v>196350000</v>
      </c>
      <c r="G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24.0" customHeight="1">
      <c r="A8" s="18">
        <v>4.0</v>
      </c>
      <c r="B8" s="19" t="s">
        <v>11</v>
      </c>
      <c r="C8" s="22"/>
      <c r="D8" s="5"/>
      <c r="E8" s="21"/>
      <c r="F8" s="23">
        <f>F2-F5-F6-F7</f>
        <v>2086745873</v>
      </c>
      <c r="G8" s="11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24.0" customHeight="1">
      <c r="A9" s="11"/>
      <c r="B9" s="11"/>
      <c r="C9" s="11"/>
      <c r="D9" s="11"/>
      <c r="E9" s="24"/>
      <c r="F9" s="24"/>
      <c r="G9" s="11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24.0" customHeight="1">
      <c r="A10" s="25" t="s">
        <v>12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8.75" customHeight="1">
      <c r="A11" s="26" t="s">
        <v>3</v>
      </c>
      <c r="B11" s="26" t="s">
        <v>13</v>
      </c>
      <c r="C11" s="26" t="s">
        <v>14</v>
      </c>
      <c r="D11" s="26" t="s">
        <v>15</v>
      </c>
      <c r="E11" s="27" t="s">
        <v>6</v>
      </c>
      <c r="F11" s="27" t="s">
        <v>16</v>
      </c>
      <c r="G11" s="28" t="s">
        <v>17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8.75" customHeight="1">
      <c r="A12" s="29">
        <v>1.0</v>
      </c>
      <c r="B12" s="30" t="s">
        <v>18</v>
      </c>
      <c r="C12" s="29" t="s">
        <v>19</v>
      </c>
      <c r="D12" s="29"/>
      <c r="E12" s="31"/>
      <c r="F12" s="31">
        <f t="shared" ref="F12:F13" si="2">D12*E12</f>
        <v>0</v>
      </c>
      <c r="G12" s="3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8.75" customHeight="1">
      <c r="A13" s="29">
        <v>2.0</v>
      </c>
      <c r="B13" s="30" t="s">
        <v>20</v>
      </c>
      <c r="C13" s="29" t="s">
        <v>21</v>
      </c>
      <c r="D13" s="29"/>
      <c r="E13" s="31"/>
      <c r="F13" s="31">
        <f t="shared" si="2"/>
        <v>0</v>
      </c>
      <c r="G13" s="3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8.75" customHeight="1">
      <c r="A14" s="29">
        <v>3.0</v>
      </c>
      <c r="B14" s="30" t="s">
        <v>22</v>
      </c>
      <c r="C14" s="29" t="s">
        <v>21</v>
      </c>
      <c r="D14" s="29">
        <v>1.0</v>
      </c>
      <c r="E14" s="31">
        <v>5000000.0</v>
      </c>
      <c r="F14" s="31">
        <f>E14*D14</f>
        <v>5000000</v>
      </c>
      <c r="G14" s="33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18.75" customHeight="1">
      <c r="A15" s="29">
        <v>4.0</v>
      </c>
      <c r="B15" s="30" t="s">
        <v>23</v>
      </c>
      <c r="C15" s="29" t="s">
        <v>24</v>
      </c>
      <c r="D15" s="29"/>
      <c r="E15" s="31"/>
      <c r="F15" s="31">
        <f t="shared" ref="F15:F16" si="3">D15*E15</f>
        <v>0</v>
      </c>
      <c r="G15" s="33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18.75" customHeight="1">
      <c r="A16" s="29">
        <v>5.0</v>
      </c>
      <c r="B16" s="30" t="s">
        <v>25</v>
      </c>
      <c r="C16" s="29" t="s">
        <v>26</v>
      </c>
      <c r="D16" s="29"/>
      <c r="E16" s="31">
        <v>1.5E7</v>
      </c>
      <c r="F16" s="31">
        <f t="shared" si="3"/>
        <v>0</v>
      </c>
      <c r="G16" s="33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8.75" customHeight="1">
      <c r="A17" s="29">
        <v>6.0</v>
      </c>
      <c r="B17" s="30" t="s">
        <v>27</v>
      </c>
      <c r="C17" s="29" t="s">
        <v>21</v>
      </c>
      <c r="D17" s="29"/>
      <c r="E17" s="31"/>
      <c r="F17" s="31"/>
      <c r="G17" s="33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21.75" customHeight="1">
      <c r="A18" s="29">
        <v>7.0</v>
      </c>
      <c r="B18" s="30" t="s">
        <v>28</v>
      </c>
      <c r="C18" s="29" t="s">
        <v>29</v>
      </c>
      <c r="D18" s="29"/>
      <c r="E18" s="31"/>
      <c r="F18" s="31"/>
      <c r="G18" s="33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18.75" customHeight="1">
      <c r="A19" s="29">
        <v>8.0</v>
      </c>
      <c r="B19" s="30" t="s">
        <v>30</v>
      </c>
      <c r="C19" s="29" t="s">
        <v>31</v>
      </c>
      <c r="D19" s="29">
        <f>C6</f>
        <v>481.15</v>
      </c>
      <c r="E19" s="31">
        <v>180000.0</v>
      </c>
      <c r="F19" s="31">
        <f>E19*D19</f>
        <v>86607000</v>
      </c>
      <c r="G19" s="3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8.75" customHeight="1">
      <c r="A20" s="29">
        <v>9.0</v>
      </c>
      <c r="B20" s="30" t="s">
        <v>32</v>
      </c>
      <c r="C20" s="29" t="s">
        <v>29</v>
      </c>
      <c r="D20" s="29"/>
      <c r="E20" s="31"/>
      <c r="F20" s="31">
        <f t="shared" ref="F20:F22" si="4">D20*E20</f>
        <v>0</v>
      </c>
      <c r="G20" s="33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8.75" customHeight="1">
      <c r="A21" s="29">
        <v>10.0</v>
      </c>
      <c r="B21" s="30" t="s">
        <v>33</v>
      </c>
      <c r="C21" s="29" t="s">
        <v>21</v>
      </c>
      <c r="D21" s="34">
        <v>1.0</v>
      </c>
      <c r="E21" s="31"/>
      <c r="F21" s="31">
        <f t="shared" si="4"/>
        <v>0</v>
      </c>
      <c r="G21" s="3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8.75" customHeight="1">
      <c r="A22" s="29">
        <v>11.0</v>
      </c>
      <c r="B22" s="30" t="s">
        <v>34</v>
      </c>
      <c r="C22" s="29" t="s">
        <v>35</v>
      </c>
      <c r="D22" s="29">
        <v>5.0E-4</v>
      </c>
      <c r="E22" s="31">
        <f>F30</f>
        <v>2260245000</v>
      </c>
      <c r="F22" s="31">
        <f t="shared" si="4"/>
        <v>1130122.5</v>
      </c>
      <c r="G22" s="35" t="s">
        <v>36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8.75" customHeight="1">
      <c r="A23" s="29">
        <v>12.0</v>
      </c>
      <c r="B23" s="30" t="s">
        <v>37</v>
      </c>
      <c r="C23" s="29" t="s">
        <v>29</v>
      </c>
      <c r="D23" s="29"/>
      <c r="E23" s="31" t="s">
        <v>38</v>
      </c>
      <c r="F23" s="31"/>
      <c r="G23" s="35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8.75" customHeight="1">
      <c r="A24" s="29">
        <v>13.0</v>
      </c>
      <c r="B24" s="30" t="s">
        <v>39</v>
      </c>
      <c r="C24" s="29" t="s">
        <v>26</v>
      </c>
      <c r="D24" s="29">
        <v>2.0</v>
      </c>
      <c r="E24" s="31"/>
      <c r="F24" s="31">
        <f>D24*E24</f>
        <v>0</v>
      </c>
      <c r="G24" s="35" t="s">
        <v>40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21.75" customHeight="1">
      <c r="A25" s="29">
        <v>14.0</v>
      </c>
      <c r="B25" s="30" t="s">
        <v>41</v>
      </c>
      <c r="C25" s="29" t="s">
        <v>42</v>
      </c>
      <c r="D25" s="29">
        <v>2.0</v>
      </c>
      <c r="E25" s="31"/>
      <c r="F25" s="31"/>
      <c r="G25" s="3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21.75" customHeight="1">
      <c r="A26" s="29">
        <v>15.0</v>
      </c>
      <c r="B26" s="30" t="s">
        <v>43</v>
      </c>
      <c r="C26" s="29" t="s">
        <v>44</v>
      </c>
      <c r="D26" s="29"/>
      <c r="E26" s="31"/>
      <c r="F26" s="31"/>
      <c r="G26" s="35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8.75" customHeight="1">
      <c r="A27" s="29">
        <v>16.0</v>
      </c>
      <c r="B27" s="30" t="s">
        <v>45</v>
      </c>
      <c r="C27" s="29" t="s">
        <v>44</v>
      </c>
      <c r="D27" s="29">
        <f>48*10</f>
        <v>480</v>
      </c>
      <c r="E27" s="31">
        <v>275000.0</v>
      </c>
      <c r="F27" s="31">
        <f t="shared" ref="F27:F35" si="5">D27*E27</f>
        <v>132000000</v>
      </c>
      <c r="G27" s="35" t="s">
        <v>46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21.75" customHeight="1">
      <c r="A28" s="29">
        <v>17.0</v>
      </c>
      <c r="B28" s="30" t="s">
        <v>47</v>
      </c>
      <c r="C28" s="29" t="s">
        <v>48</v>
      </c>
      <c r="D28" s="29">
        <v>48.0</v>
      </c>
      <c r="E28" s="31">
        <v>900000.0</v>
      </c>
      <c r="F28" s="31">
        <f t="shared" si="5"/>
        <v>43200000</v>
      </c>
      <c r="G28" s="3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21.75" customHeight="1">
      <c r="A29" s="29">
        <v>18.0</v>
      </c>
      <c r="B29" s="33" t="s">
        <v>49</v>
      </c>
      <c r="C29" s="29" t="s">
        <v>44</v>
      </c>
      <c r="D29" s="29"/>
      <c r="E29" s="31">
        <v>2400000.0</v>
      </c>
      <c r="F29" s="31">
        <f t="shared" si="5"/>
        <v>0</v>
      </c>
      <c r="G29" s="35" t="s">
        <v>50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8.75" customHeight="1">
      <c r="A30" s="36">
        <v>19.0</v>
      </c>
      <c r="B30" s="37" t="s">
        <v>51</v>
      </c>
      <c r="C30" s="38" t="s">
        <v>31</v>
      </c>
      <c r="D30" s="38">
        <f t="shared" ref="D30:D32" si="6">C5</f>
        <v>579.55</v>
      </c>
      <c r="E30" s="39">
        <f t="shared" ref="E30:E32" si="7">E5</f>
        <v>3900000</v>
      </c>
      <c r="F30" s="40">
        <f t="shared" si="5"/>
        <v>2260245000</v>
      </c>
      <c r="G30" s="41" t="s">
        <v>52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21.75" customHeight="1">
      <c r="A31" s="36">
        <v>20.0</v>
      </c>
      <c r="B31" s="37" t="s">
        <v>103</v>
      </c>
      <c r="C31" s="38" t="s">
        <v>31</v>
      </c>
      <c r="D31" s="38">
        <f t="shared" si="6"/>
        <v>481.15</v>
      </c>
      <c r="E31" s="39">
        <f t="shared" si="7"/>
        <v>3200000</v>
      </c>
      <c r="F31" s="40">
        <f t="shared" si="5"/>
        <v>1539680000</v>
      </c>
      <c r="G31" s="41" t="s">
        <v>54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8.75" customHeight="1">
      <c r="A32" s="36">
        <v>21.0</v>
      </c>
      <c r="B32" s="37" t="s">
        <v>104</v>
      </c>
      <c r="C32" s="38" t="s">
        <v>31</v>
      </c>
      <c r="D32" s="38">
        <f t="shared" si="6"/>
        <v>38.5</v>
      </c>
      <c r="E32" s="39">
        <f t="shared" si="7"/>
        <v>5100000</v>
      </c>
      <c r="F32" s="40">
        <f t="shared" si="5"/>
        <v>196350000</v>
      </c>
      <c r="G32" s="41" t="s">
        <v>105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8.75" customHeight="1">
      <c r="A33" s="36">
        <v>22.0</v>
      </c>
      <c r="B33" s="37" t="s">
        <v>55</v>
      </c>
      <c r="C33" s="38" t="s">
        <v>56</v>
      </c>
      <c r="D33" s="38">
        <v>12.0</v>
      </c>
      <c r="E33" s="40">
        <v>4.0E7</v>
      </c>
      <c r="F33" s="40">
        <f t="shared" si="5"/>
        <v>480000000</v>
      </c>
      <c r="G33" s="41" t="s">
        <v>57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8.75" customHeight="1">
      <c r="A34" s="29">
        <v>23.0</v>
      </c>
      <c r="B34" s="30" t="s">
        <v>58</v>
      </c>
      <c r="C34" s="29" t="s">
        <v>59</v>
      </c>
      <c r="D34" s="29">
        <v>1.0</v>
      </c>
      <c r="E34" s="31">
        <f>320000000</f>
        <v>320000000</v>
      </c>
      <c r="F34" s="31">
        <f t="shared" si="5"/>
        <v>320000000</v>
      </c>
      <c r="G34" s="33" t="s">
        <v>60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21.75" customHeight="1">
      <c r="A35" s="29">
        <v>24.0</v>
      </c>
      <c r="B35" s="30" t="s">
        <v>61</v>
      </c>
      <c r="C35" s="29" t="s">
        <v>62</v>
      </c>
      <c r="D35" s="29">
        <v>4.0</v>
      </c>
      <c r="E35" s="31">
        <v>1.5E7</v>
      </c>
      <c r="F35" s="31">
        <f t="shared" si="5"/>
        <v>60000000</v>
      </c>
      <c r="G35" s="3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21.75" customHeight="1">
      <c r="A36" s="29">
        <v>25.0</v>
      </c>
      <c r="B36" s="30" t="s">
        <v>63</v>
      </c>
      <c r="C36" s="29" t="s">
        <v>21</v>
      </c>
      <c r="D36" s="29">
        <v>1.0</v>
      </c>
      <c r="E36" s="31">
        <v>1.5E7</v>
      </c>
      <c r="F36" s="31">
        <f t="shared" ref="F36:F37" si="8">E36*D36</f>
        <v>15000000</v>
      </c>
      <c r="G36" s="3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21.75" customHeight="1">
      <c r="A37" s="29">
        <v>26.0</v>
      </c>
      <c r="B37" s="30" t="s">
        <v>64</v>
      </c>
      <c r="C37" s="29" t="s">
        <v>21</v>
      </c>
      <c r="D37" s="29">
        <v>1.0</v>
      </c>
      <c r="E37" s="31">
        <v>4.5E8</v>
      </c>
      <c r="F37" s="31">
        <f t="shared" si="8"/>
        <v>450000000</v>
      </c>
      <c r="G37" s="3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18.75" customHeight="1">
      <c r="A38" s="29">
        <v>27.0</v>
      </c>
      <c r="B38" s="30" t="s">
        <v>65</v>
      </c>
      <c r="C38" s="29" t="s">
        <v>26</v>
      </c>
      <c r="D38" s="29">
        <v>5.0</v>
      </c>
      <c r="E38" s="31">
        <v>2.398E7</v>
      </c>
      <c r="F38" s="31">
        <f t="shared" ref="F38:F47" si="9">D38*E38</f>
        <v>119900000</v>
      </c>
      <c r="G38" s="3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18.75" customHeight="1">
      <c r="A39" s="29">
        <v>28.0</v>
      </c>
      <c r="B39" s="30" t="s">
        <v>66</v>
      </c>
      <c r="C39" s="29" t="s">
        <v>21</v>
      </c>
      <c r="D39" s="29">
        <v>1.0</v>
      </c>
      <c r="E39" s="31"/>
      <c r="F39" s="31">
        <f t="shared" si="9"/>
        <v>0</v>
      </c>
      <c r="G39" s="3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18.75" customHeight="1">
      <c r="A40" s="29">
        <v>29.0</v>
      </c>
      <c r="B40" s="30" t="s">
        <v>67</v>
      </c>
      <c r="C40" s="29" t="s">
        <v>21</v>
      </c>
      <c r="D40" s="29">
        <v>1.0</v>
      </c>
      <c r="E40" s="31"/>
      <c r="F40" s="31">
        <f t="shared" si="9"/>
        <v>0</v>
      </c>
      <c r="G40" s="3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18.75" customHeight="1">
      <c r="A41" s="29">
        <v>30.0</v>
      </c>
      <c r="B41" s="30" t="s">
        <v>68</v>
      </c>
      <c r="C41" s="29" t="s">
        <v>29</v>
      </c>
      <c r="D41" s="29">
        <v>6.0</v>
      </c>
      <c r="E41" s="31">
        <v>2000000.0</v>
      </c>
      <c r="F41" s="31">
        <f t="shared" si="9"/>
        <v>12000000</v>
      </c>
      <c r="G41" s="33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18.75" customHeight="1">
      <c r="A42" s="29">
        <v>31.0</v>
      </c>
      <c r="B42" s="30" t="s">
        <v>69</v>
      </c>
      <c r="C42" s="29" t="s">
        <v>29</v>
      </c>
      <c r="D42" s="29"/>
      <c r="E42" s="31"/>
      <c r="F42" s="31">
        <f t="shared" si="9"/>
        <v>0</v>
      </c>
      <c r="G42" s="3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18.75" customHeight="1">
      <c r="A43" s="29">
        <v>32.0</v>
      </c>
      <c r="B43" s="30" t="s">
        <v>106</v>
      </c>
      <c r="C43" s="29" t="s">
        <v>24</v>
      </c>
      <c r="D43" s="29">
        <v>1.0</v>
      </c>
      <c r="E43" s="31">
        <v>7.0E7</v>
      </c>
      <c r="F43" s="31">
        <f t="shared" si="9"/>
        <v>70000000</v>
      </c>
      <c r="G43" s="3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8.75" customHeight="1">
      <c r="A44" s="29">
        <v>33.0</v>
      </c>
      <c r="B44" s="30" t="s">
        <v>107</v>
      </c>
      <c r="C44" s="29" t="s">
        <v>29</v>
      </c>
      <c r="D44" s="29">
        <v>1.0</v>
      </c>
      <c r="E44" s="31"/>
      <c r="F44" s="31">
        <f t="shared" si="9"/>
        <v>0</v>
      </c>
      <c r="G44" s="3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8.75" customHeight="1">
      <c r="A45" s="29">
        <v>34.0</v>
      </c>
      <c r="B45" s="30" t="s">
        <v>71</v>
      </c>
      <c r="C45" s="29" t="s">
        <v>21</v>
      </c>
      <c r="D45" s="29">
        <v>1.0</v>
      </c>
      <c r="E45" s="31">
        <v>1.5E7</v>
      </c>
      <c r="F45" s="31">
        <f t="shared" si="9"/>
        <v>15000000</v>
      </c>
      <c r="G45" s="3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8.75" customHeight="1">
      <c r="A46" s="29">
        <v>35.0</v>
      </c>
      <c r="B46" s="30" t="s">
        <v>72</v>
      </c>
      <c r="C46" s="29"/>
      <c r="D46" s="29"/>
      <c r="E46" s="31"/>
      <c r="F46" s="31">
        <f t="shared" si="9"/>
        <v>0</v>
      </c>
      <c r="G46" s="3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8.75" customHeight="1">
      <c r="A47" s="29">
        <v>36.0</v>
      </c>
      <c r="B47" s="30" t="s">
        <v>73</v>
      </c>
      <c r="C47" s="29" t="s">
        <v>31</v>
      </c>
      <c r="D47" s="29"/>
      <c r="E47" s="31">
        <v>500000.0</v>
      </c>
      <c r="F47" s="31">
        <f t="shared" si="9"/>
        <v>0</v>
      </c>
      <c r="G47" s="3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8.75" customHeight="1">
      <c r="A48" s="29">
        <v>23.0</v>
      </c>
      <c r="B48" s="30" t="s">
        <v>74</v>
      </c>
      <c r="C48" s="29" t="s">
        <v>31</v>
      </c>
      <c r="D48" s="29"/>
      <c r="E48" s="31"/>
      <c r="F48" s="44"/>
      <c r="G48" s="3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21.75" customHeight="1">
      <c r="A49" s="29">
        <v>24.0</v>
      </c>
      <c r="B49" s="30" t="s">
        <v>75</v>
      </c>
      <c r="C49" s="29"/>
      <c r="D49" s="29"/>
      <c r="E49" s="31"/>
      <c r="F49" s="45"/>
      <c r="G49" s="33" t="s">
        <v>76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21.75" customHeight="1">
      <c r="A50" s="47">
        <v>25.0</v>
      </c>
      <c r="B50" s="46" t="s">
        <v>77</v>
      </c>
      <c r="C50" s="47"/>
      <c r="D50" s="47"/>
      <c r="E50" s="48"/>
      <c r="F50" s="49"/>
      <c r="G50" s="50" t="s">
        <v>78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21.75" customHeight="1">
      <c r="A51" s="29">
        <v>26.0</v>
      </c>
      <c r="B51" s="30" t="s">
        <v>79</v>
      </c>
      <c r="C51" s="29"/>
      <c r="D51" s="29"/>
      <c r="E51" s="31"/>
      <c r="F51" s="45"/>
      <c r="G51" s="33" t="s">
        <v>80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8.75" customHeight="1">
      <c r="A52" s="29">
        <v>27.0</v>
      </c>
      <c r="B52" s="30" t="s">
        <v>81</v>
      </c>
      <c r="C52" s="51"/>
      <c r="D52" s="52"/>
      <c r="E52" s="53">
        <v>0.05</v>
      </c>
      <c r="F52" s="31">
        <f>SUM(F30:F51)*E52</f>
        <v>276908750</v>
      </c>
      <c r="G52" s="5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8.75" customHeight="1">
      <c r="A53" s="55"/>
      <c r="B53" s="2"/>
      <c r="C53" s="55"/>
      <c r="D53" s="55"/>
      <c r="E53" s="2"/>
      <c r="F53" s="56">
        <f>SUM(F12:F52)</f>
        <v>6083020873</v>
      </c>
      <c r="G53" s="57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8.75" customHeight="1">
      <c r="A54" s="55"/>
      <c r="B54" s="2"/>
      <c r="C54" s="55"/>
      <c r="D54" s="55"/>
      <c r="E54" s="2"/>
      <c r="F54" s="2"/>
      <c r="G54" s="57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8.75" customHeight="1">
      <c r="A55" s="55"/>
      <c r="B55" s="2"/>
      <c r="C55" s="55"/>
      <c r="D55" s="55"/>
      <c r="E55" s="2"/>
      <c r="F55" s="2"/>
      <c r="G55" s="57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8.75" customHeight="1">
      <c r="A56" s="55"/>
      <c r="B56" s="2"/>
      <c r="C56" s="55"/>
      <c r="D56" s="55"/>
      <c r="E56" s="2"/>
      <c r="F56" s="2"/>
      <c r="G56" s="57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8.75" customHeight="1">
      <c r="A57" s="55"/>
      <c r="B57" s="2"/>
      <c r="C57" s="55"/>
      <c r="D57" s="55"/>
      <c r="E57" s="2"/>
      <c r="F57" s="2"/>
      <c r="G57" s="57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8.75" customHeight="1">
      <c r="A58" s="55"/>
      <c r="B58" s="2"/>
      <c r="C58" s="55"/>
      <c r="D58" s="55"/>
      <c r="E58" s="2"/>
      <c r="F58" s="2"/>
      <c r="G58" s="57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8.75" customHeight="1">
      <c r="A59" s="55"/>
      <c r="B59" s="2"/>
      <c r="C59" s="55"/>
      <c r="D59" s="55"/>
      <c r="E59" s="2"/>
      <c r="F59" s="2"/>
      <c r="G59" s="57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8.75" customHeight="1">
      <c r="A60" s="55"/>
      <c r="B60" s="2"/>
      <c r="C60" s="55"/>
      <c r="D60" s="55"/>
      <c r="E60" s="2"/>
      <c r="F60" s="2"/>
      <c r="G60" s="57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8.75" customHeight="1">
      <c r="A61" s="55"/>
      <c r="B61" s="2"/>
      <c r="C61" s="55"/>
      <c r="D61" s="55"/>
      <c r="E61" s="2"/>
      <c r="F61" s="2"/>
      <c r="G61" s="57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18.75" customHeight="1">
      <c r="A62" s="55"/>
      <c r="B62" s="2"/>
      <c r="C62" s="55"/>
      <c r="D62" s="55"/>
      <c r="E62" s="2"/>
      <c r="F62" s="2"/>
      <c r="G62" s="57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8.75" customHeight="1">
      <c r="A63" s="55"/>
      <c r="B63" s="2"/>
      <c r="C63" s="55"/>
      <c r="D63" s="55"/>
      <c r="E63" s="2"/>
      <c r="F63" s="2"/>
      <c r="G63" s="57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8.75" customHeight="1">
      <c r="A64" s="55"/>
      <c r="B64" s="2"/>
      <c r="C64" s="55"/>
      <c r="D64" s="55"/>
      <c r="E64" s="2"/>
      <c r="F64" s="2"/>
      <c r="G64" s="57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8.75" customHeight="1">
      <c r="A65" s="55"/>
      <c r="B65" s="2"/>
      <c r="C65" s="55"/>
      <c r="D65" s="55"/>
      <c r="E65" s="2"/>
      <c r="F65" s="2"/>
      <c r="G65" s="57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8.75" customHeight="1">
      <c r="A66" s="55"/>
      <c r="B66" s="2"/>
      <c r="C66" s="55"/>
      <c r="D66" s="55"/>
      <c r="E66" s="2"/>
      <c r="F66" s="2"/>
      <c r="G66" s="57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18.75" customHeight="1">
      <c r="A67" s="55"/>
      <c r="B67" s="2"/>
      <c r="C67" s="55"/>
      <c r="D67" s="55"/>
      <c r="E67" s="2"/>
      <c r="F67" s="2"/>
      <c r="G67" s="57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ht="18.75" customHeight="1">
      <c r="A68" s="55"/>
      <c r="B68" s="2"/>
      <c r="C68" s="55"/>
      <c r="D68" s="55"/>
      <c r="E68" s="2"/>
      <c r="F68" s="2"/>
      <c r="G68" s="57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ht="18.75" customHeight="1">
      <c r="A69" s="55"/>
      <c r="B69" s="2"/>
      <c r="C69" s="55"/>
      <c r="D69" s="55"/>
      <c r="E69" s="2"/>
      <c r="F69" s="2"/>
      <c r="G69" s="57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18.75" customHeight="1">
      <c r="A70" s="55"/>
      <c r="B70" s="2"/>
      <c r="C70" s="55"/>
      <c r="D70" s="55"/>
      <c r="E70" s="2"/>
      <c r="F70" s="2"/>
      <c r="G70" s="57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18.75" customHeight="1">
      <c r="A71" s="55"/>
      <c r="B71" s="2"/>
      <c r="C71" s="55"/>
      <c r="D71" s="55"/>
      <c r="E71" s="2"/>
      <c r="F71" s="2"/>
      <c r="G71" s="57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18.75" customHeight="1">
      <c r="A72" s="55"/>
      <c r="B72" s="2"/>
      <c r="C72" s="55"/>
      <c r="D72" s="55"/>
      <c r="E72" s="2"/>
      <c r="F72" s="2"/>
      <c r="G72" s="57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18.75" customHeight="1">
      <c r="A73" s="55"/>
      <c r="B73" s="2"/>
      <c r="C73" s="55"/>
      <c r="D73" s="55"/>
      <c r="E73" s="2"/>
      <c r="F73" s="2"/>
      <c r="G73" s="57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8.75" customHeight="1">
      <c r="A74" s="55"/>
      <c r="B74" s="2"/>
      <c r="C74" s="55"/>
      <c r="D74" s="55"/>
      <c r="E74" s="2"/>
      <c r="F74" s="2"/>
      <c r="G74" s="57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18.75" customHeight="1">
      <c r="A75" s="55"/>
      <c r="B75" s="2"/>
      <c r="C75" s="55"/>
      <c r="D75" s="55"/>
      <c r="E75" s="2"/>
      <c r="F75" s="2"/>
      <c r="G75" s="57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18.75" customHeight="1">
      <c r="A76" s="55"/>
      <c r="B76" s="2"/>
      <c r="C76" s="55"/>
      <c r="D76" s="55"/>
      <c r="E76" s="2"/>
      <c r="F76" s="2"/>
      <c r="G76" s="57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18.75" customHeight="1">
      <c r="A77" s="55"/>
      <c r="B77" s="2"/>
      <c r="C77" s="55"/>
      <c r="D77" s="55"/>
      <c r="E77" s="2"/>
      <c r="F77" s="2"/>
      <c r="G77" s="57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8.75" customHeight="1">
      <c r="A78" s="55"/>
      <c r="B78" s="2"/>
      <c r="C78" s="55"/>
      <c r="D78" s="55"/>
      <c r="E78" s="2"/>
      <c r="F78" s="2"/>
      <c r="G78" s="57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18.75" customHeight="1">
      <c r="A79" s="55"/>
      <c r="B79" s="2"/>
      <c r="C79" s="55"/>
      <c r="D79" s="55"/>
      <c r="E79" s="2"/>
      <c r="F79" s="2"/>
      <c r="G79" s="57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18.75" customHeight="1">
      <c r="A80" s="55"/>
      <c r="B80" s="2"/>
      <c r="C80" s="55"/>
      <c r="D80" s="55"/>
      <c r="E80" s="2"/>
      <c r="F80" s="2"/>
      <c r="G80" s="57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18.75" customHeight="1">
      <c r="A81" s="55"/>
      <c r="B81" s="2"/>
      <c r="C81" s="55"/>
      <c r="D81" s="55"/>
      <c r="E81" s="2"/>
      <c r="F81" s="2"/>
      <c r="G81" s="57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18.75" customHeight="1">
      <c r="A82" s="55"/>
      <c r="B82" s="2"/>
      <c r="C82" s="55"/>
      <c r="D82" s="55"/>
      <c r="E82" s="2"/>
      <c r="F82" s="2"/>
      <c r="G82" s="57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18.75" customHeight="1">
      <c r="A83" s="55"/>
      <c r="B83" s="2"/>
      <c r="C83" s="55"/>
      <c r="D83" s="55"/>
      <c r="E83" s="2"/>
      <c r="F83" s="2"/>
      <c r="G83" s="57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8.75" customHeight="1">
      <c r="A84" s="55"/>
      <c r="B84" s="2"/>
      <c r="C84" s="55"/>
      <c r="D84" s="55"/>
      <c r="E84" s="2"/>
      <c r="F84" s="2"/>
      <c r="G84" s="57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8.75" customHeight="1">
      <c r="A85" s="55"/>
      <c r="B85" s="2"/>
      <c r="C85" s="55"/>
      <c r="D85" s="55"/>
      <c r="E85" s="2"/>
      <c r="F85" s="2"/>
      <c r="G85" s="57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8.75" customHeight="1">
      <c r="A86" s="55"/>
      <c r="B86" s="2"/>
      <c r="C86" s="55"/>
      <c r="D86" s="55"/>
      <c r="E86" s="2"/>
      <c r="F86" s="2"/>
      <c r="G86" s="57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8.75" customHeight="1">
      <c r="A87" s="55"/>
      <c r="B87" s="2"/>
      <c r="C87" s="55"/>
      <c r="D87" s="55"/>
      <c r="E87" s="2"/>
      <c r="F87" s="2"/>
      <c r="G87" s="57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8.75" customHeight="1">
      <c r="A88" s="55"/>
      <c r="B88" s="2"/>
      <c r="C88" s="55"/>
      <c r="D88" s="55"/>
      <c r="E88" s="2"/>
      <c r="F88" s="2"/>
      <c r="G88" s="57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8.75" customHeight="1">
      <c r="A89" s="55"/>
      <c r="B89" s="2"/>
      <c r="C89" s="55"/>
      <c r="D89" s="55"/>
      <c r="E89" s="2"/>
      <c r="F89" s="2"/>
      <c r="G89" s="57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8.75" customHeight="1">
      <c r="A90" s="55"/>
      <c r="B90" s="2"/>
      <c r="C90" s="55"/>
      <c r="D90" s="55"/>
      <c r="E90" s="2"/>
      <c r="F90" s="2"/>
      <c r="G90" s="57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8.75" customHeight="1">
      <c r="A91" s="55"/>
      <c r="B91" s="2"/>
      <c r="C91" s="55"/>
      <c r="D91" s="55"/>
      <c r="E91" s="2"/>
      <c r="F91" s="2"/>
      <c r="G91" s="57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8.75" customHeight="1">
      <c r="A92" s="55"/>
      <c r="B92" s="2"/>
      <c r="C92" s="55"/>
      <c r="D92" s="55"/>
      <c r="E92" s="2"/>
      <c r="F92" s="2"/>
      <c r="G92" s="57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8.75" customHeight="1">
      <c r="A93" s="55"/>
      <c r="B93" s="2"/>
      <c r="C93" s="55"/>
      <c r="D93" s="55"/>
      <c r="E93" s="2"/>
      <c r="F93" s="2"/>
      <c r="G93" s="57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8.75" customHeight="1">
      <c r="A94" s="55"/>
      <c r="B94" s="2"/>
      <c r="C94" s="55"/>
      <c r="D94" s="55"/>
      <c r="E94" s="2"/>
      <c r="F94" s="2"/>
      <c r="G94" s="57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8.75" customHeight="1">
      <c r="A95" s="55"/>
      <c r="B95" s="2"/>
      <c r="C95" s="55"/>
      <c r="D95" s="55"/>
      <c r="E95" s="2"/>
      <c r="F95" s="2"/>
      <c r="G95" s="57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8.75" customHeight="1">
      <c r="A96" s="55"/>
      <c r="B96" s="2"/>
      <c r="C96" s="55"/>
      <c r="D96" s="55"/>
      <c r="E96" s="2"/>
      <c r="F96" s="2"/>
      <c r="G96" s="57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8.75" customHeight="1">
      <c r="A97" s="55"/>
      <c r="B97" s="2"/>
      <c r="C97" s="55"/>
      <c r="D97" s="55"/>
      <c r="E97" s="2"/>
      <c r="F97" s="2"/>
      <c r="G97" s="57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8.75" customHeight="1">
      <c r="A98" s="55"/>
      <c r="B98" s="2"/>
      <c r="C98" s="55"/>
      <c r="D98" s="55"/>
      <c r="E98" s="2"/>
      <c r="F98" s="2"/>
      <c r="G98" s="57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8.75" customHeight="1">
      <c r="A99" s="55"/>
      <c r="B99" s="2"/>
      <c r="C99" s="55"/>
      <c r="D99" s="55"/>
      <c r="E99" s="2"/>
      <c r="F99" s="2"/>
      <c r="G99" s="57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8.75" customHeight="1">
      <c r="A100" s="55"/>
      <c r="B100" s="2"/>
      <c r="C100" s="55"/>
      <c r="D100" s="55"/>
      <c r="E100" s="2"/>
      <c r="F100" s="2"/>
      <c r="G100" s="57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8.75" customHeight="1">
      <c r="A101" s="55"/>
      <c r="B101" s="2"/>
      <c r="C101" s="55"/>
      <c r="D101" s="55"/>
      <c r="E101" s="2"/>
      <c r="F101" s="2"/>
      <c r="G101" s="57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8.75" customHeight="1">
      <c r="A102" s="55"/>
      <c r="B102" s="2"/>
      <c r="C102" s="55"/>
      <c r="D102" s="55"/>
      <c r="E102" s="2"/>
      <c r="F102" s="2"/>
      <c r="G102" s="57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8.75" customHeight="1">
      <c r="A103" s="55"/>
      <c r="B103" s="2"/>
      <c r="C103" s="55"/>
      <c r="D103" s="55"/>
      <c r="E103" s="2"/>
      <c r="F103" s="2"/>
      <c r="G103" s="57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8.75" customHeight="1">
      <c r="A104" s="55"/>
      <c r="B104" s="2"/>
      <c r="C104" s="55"/>
      <c r="D104" s="55"/>
      <c r="E104" s="2"/>
      <c r="F104" s="2"/>
      <c r="G104" s="57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8.75" customHeight="1">
      <c r="A105" s="55"/>
      <c r="B105" s="2"/>
      <c r="C105" s="55"/>
      <c r="D105" s="55"/>
      <c r="E105" s="2"/>
      <c r="F105" s="2"/>
      <c r="G105" s="57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8.75" customHeight="1">
      <c r="A106" s="55"/>
      <c r="B106" s="2"/>
      <c r="C106" s="55"/>
      <c r="D106" s="55"/>
      <c r="E106" s="2"/>
      <c r="F106" s="2"/>
      <c r="G106" s="57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8.75" customHeight="1">
      <c r="A107" s="55"/>
      <c r="B107" s="2"/>
      <c r="C107" s="55"/>
      <c r="D107" s="55"/>
      <c r="E107" s="2"/>
      <c r="F107" s="2"/>
      <c r="G107" s="57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8.75" customHeight="1">
      <c r="A108" s="55"/>
      <c r="B108" s="2"/>
      <c r="C108" s="55"/>
      <c r="D108" s="55"/>
      <c r="E108" s="2"/>
      <c r="F108" s="2"/>
      <c r="G108" s="57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8.75" customHeight="1">
      <c r="A109" s="55"/>
      <c r="B109" s="2"/>
      <c r="C109" s="55"/>
      <c r="D109" s="55"/>
      <c r="E109" s="2"/>
      <c r="F109" s="2"/>
      <c r="G109" s="57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8.75" customHeight="1">
      <c r="A110" s="55"/>
      <c r="B110" s="2"/>
      <c r="C110" s="55"/>
      <c r="D110" s="55"/>
      <c r="E110" s="2"/>
      <c r="F110" s="2"/>
      <c r="G110" s="57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8.75" customHeight="1">
      <c r="A111" s="55"/>
      <c r="B111" s="2"/>
      <c r="C111" s="55"/>
      <c r="D111" s="55"/>
      <c r="E111" s="2"/>
      <c r="F111" s="2"/>
      <c r="G111" s="57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8.75" customHeight="1">
      <c r="A112" s="55"/>
      <c r="B112" s="2"/>
      <c r="C112" s="55"/>
      <c r="D112" s="55"/>
      <c r="E112" s="2"/>
      <c r="F112" s="2"/>
      <c r="G112" s="57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8.75" customHeight="1">
      <c r="A113" s="55"/>
      <c r="B113" s="2"/>
      <c r="C113" s="55"/>
      <c r="D113" s="55"/>
      <c r="E113" s="2"/>
      <c r="F113" s="2"/>
      <c r="G113" s="57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8.75" customHeight="1">
      <c r="A114" s="55"/>
      <c r="B114" s="2"/>
      <c r="C114" s="55"/>
      <c r="D114" s="55"/>
      <c r="E114" s="2"/>
      <c r="F114" s="2"/>
      <c r="G114" s="57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8.75" customHeight="1">
      <c r="A115" s="55"/>
      <c r="B115" s="2"/>
      <c r="C115" s="55"/>
      <c r="D115" s="55"/>
      <c r="E115" s="2"/>
      <c r="F115" s="2"/>
      <c r="G115" s="5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8.75" customHeight="1">
      <c r="A116" s="55"/>
      <c r="B116" s="2"/>
      <c r="C116" s="55"/>
      <c r="D116" s="55"/>
      <c r="E116" s="2"/>
      <c r="F116" s="2"/>
      <c r="G116" s="5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8.75" customHeight="1">
      <c r="A117" s="55"/>
      <c r="B117" s="2"/>
      <c r="C117" s="55"/>
      <c r="D117" s="55"/>
      <c r="E117" s="2"/>
      <c r="F117" s="2"/>
      <c r="G117" s="5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8.75" customHeight="1">
      <c r="A118" s="55"/>
      <c r="B118" s="2"/>
      <c r="C118" s="55"/>
      <c r="D118" s="55"/>
      <c r="E118" s="2"/>
      <c r="F118" s="2"/>
      <c r="G118" s="5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8.75" customHeight="1">
      <c r="A119" s="55"/>
      <c r="B119" s="2"/>
      <c r="C119" s="55"/>
      <c r="D119" s="55"/>
      <c r="E119" s="2"/>
      <c r="F119" s="2"/>
      <c r="G119" s="5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8.75" customHeight="1">
      <c r="A120" s="55"/>
      <c r="B120" s="2"/>
      <c r="C120" s="55"/>
      <c r="D120" s="55"/>
      <c r="E120" s="2"/>
      <c r="F120" s="2"/>
      <c r="G120" s="5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8.75" customHeight="1">
      <c r="A121" s="55"/>
      <c r="B121" s="2"/>
      <c r="C121" s="55"/>
      <c r="D121" s="55"/>
      <c r="E121" s="2"/>
      <c r="F121" s="2"/>
      <c r="G121" s="5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8.75" customHeight="1">
      <c r="A122" s="55"/>
      <c r="B122" s="2"/>
      <c r="C122" s="55"/>
      <c r="D122" s="55"/>
      <c r="E122" s="2"/>
      <c r="F122" s="2"/>
      <c r="G122" s="57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8.75" customHeight="1">
      <c r="A123" s="55"/>
      <c r="B123" s="2"/>
      <c r="C123" s="55"/>
      <c r="D123" s="55"/>
      <c r="E123" s="2"/>
      <c r="F123" s="2"/>
      <c r="G123" s="57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8.75" customHeight="1">
      <c r="A124" s="55"/>
      <c r="B124" s="2"/>
      <c r="C124" s="55"/>
      <c r="D124" s="55"/>
      <c r="E124" s="2"/>
      <c r="F124" s="2"/>
      <c r="G124" s="57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8.75" customHeight="1">
      <c r="A125" s="55"/>
      <c r="B125" s="2"/>
      <c r="C125" s="55"/>
      <c r="D125" s="55"/>
      <c r="E125" s="2"/>
      <c r="F125" s="2"/>
      <c r="G125" s="57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8.75" customHeight="1">
      <c r="A126" s="55"/>
      <c r="B126" s="2"/>
      <c r="C126" s="55"/>
      <c r="D126" s="55"/>
      <c r="E126" s="2"/>
      <c r="F126" s="2"/>
      <c r="G126" s="57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8.75" customHeight="1">
      <c r="A127" s="55"/>
      <c r="B127" s="2"/>
      <c r="C127" s="55"/>
      <c r="D127" s="55"/>
      <c r="E127" s="2"/>
      <c r="F127" s="2"/>
      <c r="G127" s="57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8.75" customHeight="1">
      <c r="A128" s="55"/>
      <c r="B128" s="2"/>
      <c r="C128" s="55"/>
      <c r="D128" s="55"/>
      <c r="E128" s="2"/>
      <c r="F128" s="2"/>
      <c r="G128" s="5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8.75" customHeight="1">
      <c r="A129" s="55"/>
      <c r="B129" s="2"/>
      <c r="C129" s="55"/>
      <c r="D129" s="55"/>
      <c r="E129" s="2"/>
      <c r="F129" s="2"/>
      <c r="G129" s="5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8.75" customHeight="1">
      <c r="A130" s="55"/>
      <c r="B130" s="2"/>
      <c r="C130" s="55"/>
      <c r="D130" s="55"/>
      <c r="E130" s="2"/>
      <c r="F130" s="2"/>
      <c r="G130" s="5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8.75" customHeight="1">
      <c r="A131" s="55"/>
      <c r="B131" s="2"/>
      <c r="C131" s="55"/>
      <c r="D131" s="55"/>
      <c r="E131" s="2"/>
      <c r="F131" s="2"/>
      <c r="G131" s="5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8.75" customHeight="1">
      <c r="A132" s="55"/>
      <c r="B132" s="2"/>
      <c r="C132" s="55"/>
      <c r="D132" s="55"/>
      <c r="E132" s="2"/>
      <c r="F132" s="2"/>
      <c r="G132" s="5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8.75" customHeight="1">
      <c r="A133" s="55"/>
      <c r="B133" s="2"/>
      <c r="C133" s="55"/>
      <c r="D133" s="55"/>
      <c r="E133" s="2"/>
      <c r="F133" s="2"/>
      <c r="G133" s="5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8.75" customHeight="1">
      <c r="A134" s="55"/>
      <c r="B134" s="2"/>
      <c r="C134" s="55"/>
      <c r="D134" s="55"/>
      <c r="E134" s="2"/>
      <c r="F134" s="2"/>
      <c r="G134" s="5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8.75" customHeight="1">
      <c r="A135" s="55"/>
      <c r="B135" s="2"/>
      <c r="C135" s="55"/>
      <c r="D135" s="55"/>
      <c r="E135" s="2"/>
      <c r="F135" s="2"/>
      <c r="G135" s="5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8.75" customHeight="1">
      <c r="A136" s="55"/>
      <c r="B136" s="2"/>
      <c r="C136" s="55"/>
      <c r="D136" s="55"/>
      <c r="E136" s="2"/>
      <c r="F136" s="2"/>
      <c r="G136" s="5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8.75" customHeight="1">
      <c r="A137" s="55"/>
      <c r="B137" s="2"/>
      <c r="C137" s="55"/>
      <c r="D137" s="55"/>
      <c r="E137" s="2"/>
      <c r="F137" s="2"/>
      <c r="G137" s="5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8.75" customHeight="1">
      <c r="A138" s="55"/>
      <c r="B138" s="2"/>
      <c r="C138" s="55"/>
      <c r="D138" s="55"/>
      <c r="E138" s="2"/>
      <c r="F138" s="2"/>
      <c r="G138" s="5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8.75" customHeight="1">
      <c r="A139" s="55"/>
      <c r="B139" s="2"/>
      <c r="C139" s="55"/>
      <c r="D139" s="55"/>
      <c r="E139" s="2"/>
      <c r="F139" s="2"/>
      <c r="G139" s="5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8.75" customHeight="1">
      <c r="A140" s="55"/>
      <c r="B140" s="2"/>
      <c r="C140" s="55"/>
      <c r="D140" s="55"/>
      <c r="E140" s="2"/>
      <c r="F140" s="2"/>
      <c r="G140" s="5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8.75" customHeight="1">
      <c r="A141" s="55"/>
      <c r="B141" s="2"/>
      <c r="C141" s="55"/>
      <c r="D141" s="55"/>
      <c r="E141" s="2"/>
      <c r="F141" s="2"/>
      <c r="G141" s="5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8.75" customHeight="1">
      <c r="A142" s="55"/>
      <c r="B142" s="2"/>
      <c r="C142" s="55"/>
      <c r="D142" s="55"/>
      <c r="E142" s="2"/>
      <c r="F142" s="2"/>
      <c r="G142" s="5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8.75" customHeight="1">
      <c r="A143" s="55"/>
      <c r="B143" s="2"/>
      <c r="C143" s="55"/>
      <c r="D143" s="55"/>
      <c r="E143" s="2"/>
      <c r="F143" s="2"/>
      <c r="G143" s="5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8.75" customHeight="1">
      <c r="A144" s="55"/>
      <c r="B144" s="2"/>
      <c r="C144" s="55"/>
      <c r="D144" s="55"/>
      <c r="E144" s="2"/>
      <c r="F144" s="2"/>
      <c r="G144" s="5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8.75" customHeight="1">
      <c r="A145" s="55"/>
      <c r="B145" s="2"/>
      <c r="C145" s="55"/>
      <c r="D145" s="55"/>
      <c r="E145" s="2"/>
      <c r="F145" s="2"/>
      <c r="G145" s="5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8.75" customHeight="1">
      <c r="A146" s="55"/>
      <c r="B146" s="2"/>
      <c r="C146" s="55"/>
      <c r="D146" s="55"/>
      <c r="E146" s="2"/>
      <c r="F146" s="2"/>
      <c r="G146" s="5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8.75" customHeight="1">
      <c r="A147" s="55"/>
      <c r="B147" s="2"/>
      <c r="C147" s="55"/>
      <c r="D147" s="55"/>
      <c r="E147" s="2"/>
      <c r="F147" s="2"/>
      <c r="G147" s="5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8.75" customHeight="1">
      <c r="A148" s="55"/>
      <c r="B148" s="2"/>
      <c r="C148" s="55"/>
      <c r="D148" s="55"/>
      <c r="E148" s="2"/>
      <c r="F148" s="2"/>
      <c r="G148" s="5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8.75" customHeight="1">
      <c r="A149" s="55"/>
      <c r="B149" s="2"/>
      <c r="C149" s="55"/>
      <c r="D149" s="55"/>
      <c r="E149" s="2"/>
      <c r="F149" s="2"/>
      <c r="G149" s="5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8.75" customHeight="1">
      <c r="A150" s="55"/>
      <c r="B150" s="2"/>
      <c r="C150" s="55"/>
      <c r="D150" s="55"/>
      <c r="E150" s="2"/>
      <c r="F150" s="2"/>
      <c r="G150" s="5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8.75" customHeight="1">
      <c r="A151" s="55"/>
      <c r="B151" s="2"/>
      <c r="C151" s="55"/>
      <c r="D151" s="55"/>
      <c r="E151" s="2"/>
      <c r="F151" s="2"/>
      <c r="G151" s="5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8.75" customHeight="1">
      <c r="A152" s="55"/>
      <c r="B152" s="2"/>
      <c r="C152" s="55"/>
      <c r="D152" s="55"/>
      <c r="E152" s="2"/>
      <c r="F152" s="2"/>
      <c r="G152" s="5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8.75" customHeight="1">
      <c r="A153" s="55"/>
      <c r="B153" s="2"/>
      <c r="C153" s="55"/>
      <c r="D153" s="55"/>
      <c r="E153" s="2"/>
      <c r="F153" s="2"/>
      <c r="G153" s="5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8.75" customHeight="1">
      <c r="A154" s="55"/>
      <c r="B154" s="2"/>
      <c r="C154" s="55"/>
      <c r="D154" s="55"/>
      <c r="E154" s="2"/>
      <c r="F154" s="2"/>
      <c r="G154" s="5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8.75" customHeight="1">
      <c r="A155" s="55"/>
      <c r="B155" s="2"/>
      <c r="C155" s="55"/>
      <c r="D155" s="55"/>
      <c r="E155" s="2"/>
      <c r="F155" s="2"/>
      <c r="G155" s="5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8.75" customHeight="1">
      <c r="A156" s="55"/>
      <c r="B156" s="2"/>
      <c r="C156" s="55"/>
      <c r="D156" s="55"/>
      <c r="E156" s="2"/>
      <c r="F156" s="2"/>
      <c r="G156" s="5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8.75" customHeight="1">
      <c r="A157" s="55"/>
      <c r="B157" s="2"/>
      <c r="C157" s="55"/>
      <c r="D157" s="55"/>
      <c r="E157" s="2"/>
      <c r="F157" s="2"/>
      <c r="G157" s="5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8.75" customHeight="1">
      <c r="A158" s="55"/>
      <c r="B158" s="2"/>
      <c r="C158" s="55"/>
      <c r="D158" s="55"/>
      <c r="E158" s="2"/>
      <c r="F158" s="2"/>
      <c r="G158" s="5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8.75" customHeight="1">
      <c r="A159" s="55"/>
      <c r="B159" s="2"/>
      <c r="C159" s="55"/>
      <c r="D159" s="55"/>
      <c r="E159" s="2"/>
      <c r="F159" s="2"/>
      <c r="G159" s="5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8.75" customHeight="1">
      <c r="A160" s="55"/>
      <c r="B160" s="2"/>
      <c r="C160" s="55"/>
      <c r="D160" s="55"/>
      <c r="E160" s="2"/>
      <c r="F160" s="2"/>
      <c r="G160" s="5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8.75" customHeight="1">
      <c r="A161" s="55"/>
      <c r="B161" s="2"/>
      <c r="C161" s="55"/>
      <c r="D161" s="55"/>
      <c r="E161" s="2"/>
      <c r="F161" s="2"/>
      <c r="G161" s="5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8.75" customHeight="1">
      <c r="A162" s="55"/>
      <c r="B162" s="2"/>
      <c r="C162" s="55"/>
      <c r="D162" s="55"/>
      <c r="E162" s="2"/>
      <c r="F162" s="2"/>
      <c r="G162" s="5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8.75" customHeight="1">
      <c r="A163" s="55"/>
      <c r="B163" s="2"/>
      <c r="C163" s="55"/>
      <c r="D163" s="55"/>
      <c r="E163" s="2"/>
      <c r="F163" s="2"/>
      <c r="G163" s="5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8.75" customHeight="1">
      <c r="A164" s="55"/>
      <c r="B164" s="2"/>
      <c r="C164" s="55"/>
      <c r="D164" s="55"/>
      <c r="E164" s="2"/>
      <c r="F164" s="2"/>
      <c r="G164" s="5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8.75" customHeight="1">
      <c r="A165" s="55"/>
      <c r="B165" s="2"/>
      <c r="C165" s="55"/>
      <c r="D165" s="55"/>
      <c r="E165" s="2"/>
      <c r="F165" s="2"/>
      <c r="G165" s="5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8.75" customHeight="1">
      <c r="A166" s="55"/>
      <c r="B166" s="2"/>
      <c r="C166" s="55"/>
      <c r="D166" s="55"/>
      <c r="E166" s="2"/>
      <c r="F166" s="2"/>
      <c r="G166" s="5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8.75" customHeight="1">
      <c r="A167" s="55"/>
      <c r="B167" s="2"/>
      <c r="C167" s="55"/>
      <c r="D167" s="55"/>
      <c r="E167" s="2"/>
      <c r="F167" s="2"/>
      <c r="G167" s="5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8.75" customHeight="1">
      <c r="A168" s="55"/>
      <c r="B168" s="2"/>
      <c r="C168" s="55"/>
      <c r="D168" s="55"/>
      <c r="E168" s="2"/>
      <c r="F168" s="2"/>
      <c r="G168" s="5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8.75" customHeight="1">
      <c r="A169" s="55"/>
      <c r="B169" s="2"/>
      <c r="C169" s="55"/>
      <c r="D169" s="55"/>
      <c r="E169" s="2"/>
      <c r="F169" s="2"/>
      <c r="G169" s="5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8.75" customHeight="1">
      <c r="A170" s="55"/>
      <c r="B170" s="2"/>
      <c r="C170" s="55"/>
      <c r="D170" s="55"/>
      <c r="E170" s="2"/>
      <c r="F170" s="2"/>
      <c r="G170" s="5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8.75" customHeight="1">
      <c r="A171" s="55"/>
      <c r="B171" s="2"/>
      <c r="C171" s="55"/>
      <c r="D171" s="55"/>
      <c r="E171" s="2"/>
      <c r="F171" s="2"/>
      <c r="G171" s="5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8.75" customHeight="1">
      <c r="A172" s="55"/>
      <c r="B172" s="2"/>
      <c r="C172" s="55"/>
      <c r="D172" s="55"/>
      <c r="E172" s="2"/>
      <c r="F172" s="2"/>
      <c r="G172" s="5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8.75" customHeight="1">
      <c r="A173" s="55"/>
      <c r="B173" s="2"/>
      <c r="C173" s="55"/>
      <c r="D173" s="55"/>
      <c r="E173" s="2"/>
      <c r="F173" s="2"/>
      <c r="G173" s="5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8.75" customHeight="1">
      <c r="A174" s="55"/>
      <c r="B174" s="2"/>
      <c r="C174" s="55"/>
      <c r="D174" s="55"/>
      <c r="E174" s="2"/>
      <c r="F174" s="2"/>
      <c r="G174" s="5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8.75" customHeight="1">
      <c r="A175" s="55"/>
      <c r="B175" s="2"/>
      <c r="C175" s="55"/>
      <c r="D175" s="55"/>
      <c r="E175" s="2"/>
      <c r="F175" s="2"/>
      <c r="G175" s="5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8.75" customHeight="1">
      <c r="A176" s="55"/>
      <c r="B176" s="2"/>
      <c r="C176" s="55"/>
      <c r="D176" s="55"/>
      <c r="E176" s="2"/>
      <c r="F176" s="2"/>
      <c r="G176" s="5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8.75" customHeight="1">
      <c r="A177" s="55"/>
      <c r="B177" s="2"/>
      <c r="C177" s="55"/>
      <c r="D177" s="55"/>
      <c r="E177" s="2"/>
      <c r="F177" s="2"/>
      <c r="G177" s="5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8.75" customHeight="1">
      <c r="A178" s="55"/>
      <c r="B178" s="2"/>
      <c r="C178" s="55"/>
      <c r="D178" s="55"/>
      <c r="E178" s="2"/>
      <c r="F178" s="2"/>
      <c r="G178" s="5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8.75" customHeight="1">
      <c r="A179" s="55"/>
      <c r="B179" s="2"/>
      <c r="C179" s="55"/>
      <c r="D179" s="55"/>
      <c r="E179" s="2"/>
      <c r="F179" s="2"/>
      <c r="G179" s="5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8.75" customHeight="1">
      <c r="A180" s="55"/>
      <c r="B180" s="2"/>
      <c r="C180" s="55"/>
      <c r="D180" s="55"/>
      <c r="E180" s="2"/>
      <c r="F180" s="2"/>
      <c r="G180" s="5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8.75" customHeight="1">
      <c r="A181" s="55"/>
      <c r="B181" s="2"/>
      <c r="C181" s="55"/>
      <c r="D181" s="55"/>
      <c r="E181" s="2"/>
      <c r="F181" s="2"/>
      <c r="G181" s="57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8.75" customHeight="1">
      <c r="A182" s="55"/>
      <c r="B182" s="2"/>
      <c r="C182" s="55"/>
      <c r="D182" s="55"/>
      <c r="E182" s="2"/>
      <c r="F182" s="2"/>
      <c r="G182" s="5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8.75" customHeight="1">
      <c r="A183" s="55"/>
      <c r="B183" s="2"/>
      <c r="C183" s="55"/>
      <c r="D183" s="55"/>
      <c r="E183" s="2"/>
      <c r="F183" s="2"/>
      <c r="G183" s="5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8.75" customHeight="1">
      <c r="A184" s="55"/>
      <c r="B184" s="2"/>
      <c r="C184" s="55"/>
      <c r="D184" s="55"/>
      <c r="E184" s="2"/>
      <c r="F184" s="2"/>
      <c r="G184" s="5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8.75" customHeight="1">
      <c r="A185" s="55"/>
      <c r="B185" s="2"/>
      <c r="C185" s="55"/>
      <c r="D185" s="55"/>
      <c r="E185" s="2"/>
      <c r="F185" s="2"/>
      <c r="G185" s="57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8.75" customHeight="1">
      <c r="A186" s="55"/>
      <c r="B186" s="2"/>
      <c r="C186" s="55"/>
      <c r="D186" s="55"/>
      <c r="E186" s="2"/>
      <c r="F186" s="2"/>
      <c r="G186" s="57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8.75" customHeight="1">
      <c r="A187" s="55"/>
      <c r="B187" s="2"/>
      <c r="C187" s="55"/>
      <c r="D187" s="55"/>
      <c r="E187" s="2"/>
      <c r="F187" s="2"/>
      <c r="G187" s="5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8.75" customHeight="1">
      <c r="A188" s="55"/>
      <c r="B188" s="2"/>
      <c r="C188" s="55"/>
      <c r="D188" s="55"/>
      <c r="E188" s="2"/>
      <c r="F188" s="2"/>
      <c r="G188" s="5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8.75" customHeight="1">
      <c r="A189" s="55"/>
      <c r="B189" s="2"/>
      <c r="C189" s="55"/>
      <c r="D189" s="55"/>
      <c r="E189" s="2"/>
      <c r="F189" s="2"/>
      <c r="G189" s="5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8.75" customHeight="1">
      <c r="A190" s="55"/>
      <c r="B190" s="2"/>
      <c r="C190" s="55"/>
      <c r="D190" s="55"/>
      <c r="E190" s="2"/>
      <c r="F190" s="2"/>
      <c r="G190" s="5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8.75" customHeight="1">
      <c r="A191" s="55"/>
      <c r="B191" s="2"/>
      <c r="C191" s="55"/>
      <c r="D191" s="55"/>
      <c r="E191" s="2"/>
      <c r="F191" s="2"/>
      <c r="G191" s="5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8.75" customHeight="1">
      <c r="A192" s="55"/>
      <c r="B192" s="2"/>
      <c r="C192" s="55"/>
      <c r="D192" s="55"/>
      <c r="E192" s="2"/>
      <c r="F192" s="2"/>
      <c r="G192" s="5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8.75" customHeight="1">
      <c r="A193" s="55"/>
      <c r="B193" s="2"/>
      <c r="C193" s="55"/>
      <c r="D193" s="55"/>
      <c r="E193" s="2"/>
      <c r="F193" s="2"/>
      <c r="G193" s="5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8.75" customHeight="1">
      <c r="A194" s="55"/>
      <c r="B194" s="2"/>
      <c r="C194" s="55"/>
      <c r="D194" s="55"/>
      <c r="E194" s="2"/>
      <c r="F194" s="2"/>
      <c r="G194" s="5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8.75" customHeight="1">
      <c r="A195" s="55"/>
      <c r="B195" s="2"/>
      <c r="C195" s="55"/>
      <c r="D195" s="55"/>
      <c r="E195" s="2"/>
      <c r="F195" s="2"/>
      <c r="G195" s="5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8.75" customHeight="1">
      <c r="A196" s="55"/>
      <c r="B196" s="2"/>
      <c r="C196" s="55"/>
      <c r="D196" s="55"/>
      <c r="E196" s="2"/>
      <c r="F196" s="2"/>
      <c r="G196" s="5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8.75" customHeight="1">
      <c r="A197" s="55"/>
      <c r="B197" s="2"/>
      <c r="C197" s="55"/>
      <c r="D197" s="55"/>
      <c r="E197" s="2"/>
      <c r="F197" s="2"/>
      <c r="G197" s="5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8.75" customHeight="1">
      <c r="A198" s="55"/>
      <c r="B198" s="2"/>
      <c r="C198" s="55"/>
      <c r="D198" s="55"/>
      <c r="E198" s="2"/>
      <c r="F198" s="2"/>
      <c r="G198" s="5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8.75" customHeight="1">
      <c r="A199" s="55"/>
      <c r="B199" s="2"/>
      <c r="C199" s="55"/>
      <c r="D199" s="55"/>
      <c r="E199" s="2"/>
      <c r="F199" s="2"/>
      <c r="G199" s="5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8.75" customHeight="1">
      <c r="A200" s="55"/>
      <c r="B200" s="2"/>
      <c r="C200" s="55"/>
      <c r="D200" s="55"/>
      <c r="E200" s="2"/>
      <c r="F200" s="2"/>
      <c r="G200" s="5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8.75" customHeight="1">
      <c r="A201" s="55"/>
      <c r="B201" s="2"/>
      <c r="C201" s="55"/>
      <c r="D201" s="55"/>
      <c r="E201" s="2"/>
      <c r="F201" s="2"/>
      <c r="G201" s="5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8.75" customHeight="1">
      <c r="A202" s="55"/>
      <c r="B202" s="2"/>
      <c r="C202" s="55"/>
      <c r="D202" s="55"/>
      <c r="E202" s="2"/>
      <c r="F202" s="2"/>
      <c r="G202" s="5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8.75" customHeight="1">
      <c r="A203" s="55"/>
      <c r="B203" s="2"/>
      <c r="C203" s="55"/>
      <c r="D203" s="55"/>
      <c r="E203" s="2"/>
      <c r="F203" s="2"/>
      <c r="G203" s="5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8.75" customHeight="1">
      <c r="A204" s="55"/>
      <c r="B204" s="2"/>
      <c r="C204" s="55"/>
      <c r="D204" s="55"/>
      <c r="E204" s="2"/>
      <c r="F204" s="2"/>
      <c r="G204" s="5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8.75" customHeight="1">
      <c r="A205" s="55"/>
      <c r="B205" s="2"/>
      <c r="C205" s="55"/>
      <c r="D205" s="55"/>
      <c r="E205" s="2"/>
      <c r="F205" s="2"/>
      <c r="G205" s="5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8.75" customHeight="1">
      <c r="A206" s="55"/>
      <c r="B206" s="2"/>
      <c r="C206" s="55"/>
      <c r="D206" s="55"/>
      <c r="E206" s="2"/>
      <c r="F206" s="2"/>
      <c r="G206" s="5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8.75" customHeight="1">
      <c r="A207" s="55"/>
      <c r="B207" s="2"/>
      <c r="C207" s="55"/>
      <c r="D207" s="55"/>
      <c r="E207" s="2"/>
      <c r="F207" s="2"/>
      <c r="G207" s="5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8.75" customHeight="1">
      <c r="A208" s="55"/>
      <c r="B208" s="2"/>
      <c r="C208" s="55"/>
      <c r="D208" s="55"/>
      <c r="E208" s="2"/>
      <c r="F208" s="2"/>
      <c r="G208" s="5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8.75" customHeight="1">
      <c r="A209" s="55"/>
      <c r="B209" s="2"/>
      <c r="C209" s="55"/>
      <c r="D209" s="55"/>
      <c r="E209" s="2"/>
      <c r="F209" s="2"/>
      <c r="G209" s="5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8.75" customHeight="1">
      <c r="A210" s="55"/>
      <c r="B210" s="2"/>
      <c r="C210" s="55"/>
      <c r="D210" s="55"/>
      <c r="E210" s="2"/>
      <c r="F210" s="2"/>
      <c r="G210" s="5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8.75" customHeight="1">
      <c r="A211" s="55"/>
      <c r="B211" s="2"/>
      <c r="C211" s="55"/>
      <c r="D211" s="55"/>
      <c r="E211" s="2"/>
      <c r="F211" s="2"/>
      <c r="G211" s="5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8.75" customHeight="1">
      <c r="A212" s="55"/>
      <c r="B212" s="2"/>
      <c r="C212" s="55"/>
      <c r="D212" s="55"/>
      <c r="E212" s="2"/>
      <c r="F212" s="2"/>
      <c r="G212" s="57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8.75" customHeight="1">
      <c r="A213" s="55"/>
      <c r="B213" s="2"/>
      <c r="C213" s="55"/>
      <c r="D213" s="55"/>
      <c r="E213" s="2"/>
      <c r="F213" s="2"/>
      <c r="G213" s="57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9">
    <mergeCell ref="C8:D8"/>
    <mergeCell ref="A10:G10"/>
    <mergeCell ref="A1:G1"/>
    <mergeCell ref="A2:E2"/>
    <mergeCell ref="A3:E3"/>
    <mergeCell ref="C4:D4"/>
    <mergeCell ref="C5:D5"/>
    <mergeCell ref="C6:D6"/>
    <mergeCell ref="C7:D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23.0"/>
    <col customWidth="1" min="3" max="4" width="14.0"/>
    <col customWidth="1" min="5" max="5" width="17.0"/>
    <col customWidth="1" min="6" max="6" width="14.0"/>
    <col customWidth="1" min="7" max="7" width="19.0"/>
    <col customWidth="1" min="8" max="9" width="17.0"/>
    <col customWidth="1" min="10" max="26" width="14.0"/>
  </cols>
  <sheetData>
    <row r="1" ht="18.75" customHeight="1">
      <c r="A1" s="58" t="s">
        <v>3</v>
      </c>
      <c r="B1" s="58" t="s">
        <v>82</v>
      </c>
      <c r="C1" s="58" t="s">
        <v>83</v>
      </c>
      <c r="D1" s="58" t="s">
        <v>84</v>
      </c>
      <c r="E1" s="58" t="s">
        <v>85</v>
      </c>
      <c r="F1" s="58" t="s">
        <v>84</v>
      </c>
      <c r="G1" s="59" t="s">
        <v>86</v>
      </c>
      <c r="H1" s="60" t="s">
        <v>84</v>
      </c>
      <c r="I1" s="60" t="s">
        <v>87</v>
      </c>
      <c r="J1" s="2"/>
      <c r="K1" s="2"/>
    </row>
    <row r="2" ht="18.75" customHeight="1">
      <c r="A2" s="51">
        <v>1.0</v>
      </c>
      <c r="B2" s="54" t="s">
        <v>88</v>
      </c>
      <c r="C2" s="61">
        <v>128.0</v>
      </c>
      <c r="D2" s="51">
        <v>0.5</v>
      </c>
      <c r="E2" s="62">
        <f t="shared" ref="E2:E10" si="1">C2*D2</f>
        <v>64</v>
      </c>
      <c r="F2" s="51"/>
      <c r="G2" s="63"/>
      <c r="H2" s="52"/>
      <c r="I2" s="64"/>
    </row>
    <row r="3" ht="18.75" customHeight="1">
      <c r="A3" s="51">
        <v>2.0</v>
      </c>
      <c r="B3" s="54" t="s">
        <v>90</v>
      </c>
      <c r="C3" s="61">
        <v>110.0</v>
      </c>
      <c r="D3" s="51">
        <v>1.0</v>
      </c>
      <c r="E3" s="62">
        <f t="shared" si="1"/>
        <v>110</v>
      </c>
      <c r="F3" s="51">
        <v>1.0</v>
      </c>
      <c r="G3" s="63">
        <f t="shared" ref="G3:G9" si="2">C3*F3</f>
        <v>110</v>
      </c>
      <c r="H3" s="52"/>
      <c r="I3" s="64"/>
    </row>
    <row r="4" ht="18.75" customHeight="1">
      <c r="A4" s="51">
        <v>3.0</v>
      </c>
      <c r="B4" s="54" t="s">
        <v>91</v>
      </c>
      <c r="C4" s="61">
        <f>C3*0.65</f>
        <v>71.5</v>
      </c>
      <c r="D4" s="51">
        <v>1.0</v>
      </c>
      <c r="E4" s="62">
        <f t="shared" si="1"/>
        <v>71.5</v>
      </c>
      <c r="F4" s="51">
        <v>1.0</v>
      </c>
      <c r="G4" s="63">
        <f t="shared" si="2"/>
        <v>71.5</v>
      </c>
      <c r="H4" s="52"/>
      <c r="I4" s="64"/>
    </row>
    <row r="5" ht="18.75" customHeight="1">
      <c r="A5" s="51">
        <v>4.0</v>
      </c>
      <c r="B5" s="54" t="s">
        <v>92</v>
      </c>
      <c r="C5" s="61">
        <f>C3-C4</f>
        <v>38.5</v>
      </c>
      <c r="D5" s="51">
        <v>0.5</v>
      </c>
      <c r="E5" s="62">
        <f t="shared" si="1"/>
        <v>19.25</v>
      </c>
      <c r="F5" s="51">
        <v>0.5</v>
      </c>
      <c r="G5" s="63">
        <f t="shared" si="2"/>
        <v>19.25</v>
      </c>
      <c r="H5" s="52"/>
      <c r="I5" s="64"/>
    </row>
    <row r="6" ht="18.75" customHeight="1">
      <c r="A6" s="51">
        <v>5.0</v>
      </c>
      <c r="B6" s="54" t="s">
        <v>93</v>
      </c>
      <c r="C6" s="61">
        <f>C3</f>
        <v>110</v>
      </c>
      <c r="D6" s="51">
        <v>1.0</v>
      </c>
      <c r="E6" s="62">
        <f t="shared" si="1"/>
        <v>110</v>
      </c>
      <c r="F6" s="51">
        <v>1.0</v>
      </c>
      <c r="G6" s="63">
        <f t="shared" si="2"/>
        <v>110</v>
      </c>
      <c r="H6" s="52"/>
      <c r="I6" s="64"/>
    </row>
    <row r="7" ht="18.75" customHeight="1">
      <c r="A7" s="51">
        <v>6.0</v>
      </c>
      <c r="B7" s="54" t="s">
        <v>94</v>
      </c>
      <c r="C7" s="61">
        <f t="shared" ref="C7:C8" si="3">C6</f>
        <v>110</v>
      </c>
      <c r="D7" s="51">
        <v>1.0</v>
      </c>
      <c r="E7" s="62">
        <f t="shared" si="1"/>
        <v>110</v>
      </c>
      <c r="F7" s="51">
        <v>1.0</v>
      </c>
      <c r="G7" s="63">
        <f t="shared" si="2"/>
        <v>110</v>
      </c>
      <c r="H7" s="52"/>
      <c r="I7" s="64"/>
    </row>
    <row r="8" ht="18.75" customHeight="1">
      <c r="A8" s="51">
        <v>7.0</v>
      </c>
      <c r="B8" s="65" t="s">
        <v>108</v>
      </c>
      <c r="C8" s="66">
        <f t="shared" si="3"/>
        <v>110</v>
      </c>
      <c r="D8" s="67">
        <v>0.7</v>
      </c>
      <c r="E8" s="62">
        <f t="shared" si="1"/>
        <v>77</v>
      </c>
      <c r="F8" s="51">
        <v>0.5</v>
      </c>
      <c r="G8" s="63">
        <f t="shared" si="2"/>
        <v>55</v>
      </c>
      <c r="H8" s="52"/>
      <c r="I8" s="64"/>
    </row>
    <row r="9" ht="18.75" customHeight="1">
      <c r="A9" s="51">
        <v>8.0</v>
      </c>
      <c r="B9" s="65" t="s">
        <v>99</v>
      </c>
      <c r="C9" s="66">
        <f>C2-C3</f>
        <v>18</v>
      </c>
      <c r="D9" s="67">
        <v>0.5</v>
      </c>
      <c r="E9" s="62">
        <f t="shared" si="1"/>
        <v>9</v>
      </c>
      <c r="F9" s="51">
        <v>0.3</v>
      </c>
      <c r="G9" s="63">
        <f t="shared" si="2"/>
        <v>5.4</v>
      </c>
      <c r="H9" s="52"/>
      <c r="I9" s="64"/>
    </row>
    <row r="10" ht="18.75" customHeight="1">
      <c r="A10" s="51">
        <v>9.0</v>
      </c>
      <c r="B10" s="65" t="s">
        <v>100</v>
      </c>
      <c r="C10" s="66">
        <f>2*2.2</f>
        <v>4.4</v>
      </c>
      <c r="D10" s="67">
        <v>2.0</v>
      </c>
      <c r="E10" s="62">
        <f t="shared" si="1"/>
        <v>8.8</v>
      </c>
      <c r="F10" s="51"/>
      <c r="G10" s="63"/>
      <c r="H10" s="52"/>
      <c r="I10" s="64"/>
    </row>
    <row r="11" ht="18.75" customHeight="1">
      <c r="A11" s="68" t="s">
        <v>101</v>
      </c>
      <c r="B11" s="4"/>
      <c r="C11" s="5"/>
      <c r="D11" s="69">
        <f>SUM(E2:E10)</f>
        <v>579.55</v>
      </c>
      <c r="E11" s="5"/>
      <c r="F11" s="70">
        <f>SUM(G2:G10)</f>
        <v>481.15</v>
      </c>
      <c r="G11" s="71"/>
      <c r="H11" s="70">
        <f>SUM(I2:I8)</f>
        <v>0</v>
      </c>
      <c r="I11" s="71"/>
      <c r="K11" s="72"/>
    </row>
    <row r="12" ht="18.75" customHeight="1">
      <c r="A12" s="55"/>
      <c r="E12" s="73">
        <v>7000000.0</v>
      </c>
    </row>
    <row r="13" ht="18.75" customHeight="1">
      <c r="A13" s="55"/>
      <c r="E13" s="74">
        <f>D11*E12</f>
        <v>4056850000</v>
      </c>
    </row>
    <row r="14" ht="18.75" customHeight="1">
      <c r="A14" s="55"/>
      <c r="H14" s="72"/>
    </row>
    <row r="15" ht="18.75" customHeight="1">
      <c r="A15" s="55"/>
    </row>
    <row r="16" ht="18.75" customHeight="1">
      <c r="A16" s="55"/>
    </row>
    <row r="17" ht="18.75" customHeight="1">
      <c r="A17" s="55"/>
    </row>
    <row r="18" ht="18.75" customHeight="1">
      <c r="A18" s="55"/>
    </row>
    <row r="19" ht="18.75" customHeight="1">
      <c r="A19" s="55"/>
    </row>
    <row r="20" ht="18.75" customHeight="1">
      <c r="A20" s="55"/>
    </row>
    <row r="21" ht="18.75" customHeight="1">
      <c r="A21" s="55"/>
    </row>
    <row r="22" ht="18.75" customHeight="1">
      <c r="A22" s="55"/>
    </row>
    <row r="23" ht="18.75" customHeight="1">
      <c r="A23" s="55"/>
    </row>
    <row r="24" ht="18.75" customHeight="1">
      <c r="A24" s="55"/>
    </row>
    <row r="25" ht="18.75" customHeight="1">
      <c r="A25" s="55"/>
    </row>
    <row r="26" ht="18.75" customHeight="1">
      <c r="A26" s="55"/>
    </row>
    <row r="27" ht="18.75" customHeight="1">
      <c r="A27" s="55"/>
    </row>
    <row r="28" ht="18.75" customHeight="1">
      <c r="A28" s="55"/>
    </row>
    <row r="29" ht="18.75" customHeight="1">
      <c r="A29" s="55"/>
    </row>
    <row r="30" ht="18.75" customHeight="1">
      <c r="A30" s="55"/>
    </row>
    <row r="31" ht="18.75" customHeight="1">
      <c r="A31" s="55"/>
    </row>
    <row r="32" ht="18.75" customHeight="1">
      <c r="A32" s="55"/>
    </row>
    <row r="33" ht="18.75" customHeight="1">
      <c r="A33" s="55"/>
    </row>
    <row r="34" ht="18.75" customHeight="1">
      <c r="A34" s="55"/>
    </row>
    <row r="35" ht="18.75" customHeight="1">
      <c r="A35" s="55"/>
    </row>
    <row r="36" ht="18.75" customHeight="1">
      <c r="A36" s="55"/>
    </row>
    <row r="37" ht="18.75" customHeight="1">
      <c r="A37" s="55"/>
    </row>
    <row r="38" ht="18.75" customHeight="1">
      <c r="A38" s="55"/>
    </row>
    <row r="39" ht="18.75" customHeight="1">
      <c r="A39" s="55"/>
    </row>
    <row r="40" ht="18.75" customHeight="1">
      <c r="A40" s="55"/>
    </row>
    <row r="41" ht="18.75" customHeight="1">
      <c r="A41" s="55"/>
    </row>
    <row r="42" ht="18.75" customHeight="1">
      <c r="A42" s="55"/>
    </row>
    <row r="43" ht="18.75" customHeight="1">
      <c r="A43" s="55"/>
    </row>
    <row r="44" ht="18.75" customHeight="1">
      <c r="A44" s="55"/>
    </row>
    <row r="45" ht="18.75" customHeight="1">
      <c r="A45" s="55"/>
    </row>
    <row r="46" ht="18.75" customHeight="1">
      <c r="A46" s="55"/>
    </row>
    <row r="47" ht="18.75" customHeight="1">
      <c r="A47" s="55"/>
    </row>
    <row r="48" ht="18.75" customHeight="1">
      <c r="A48" s="55"/>
    </row>
    <row r="49" ht="18.75" customHeight="1">
      <c r="A49" s="55"/>
    </row>
    <row r="50" ht="18.75" customHeight="1">
      <c r="A50" s="55"/>
    </row>
    <row r="51" ht="18.75" customHeight="1">
      <c r="A51" s="55"/>
    </row>
    <row r="52" ht="18.75" customHeight="1">
      <c r="A52" s="55"/>
    </row>
    <row r="53" ht="18.75" customHeight="1">
      <c r="A53" s="55"/>
    </row>
    <row r="54" ht="18.75" customHeight="1">
      <c r="A54" s="55"/>
    </row>
    <row r="55" ht="18.75" customHeight="1">
      <c r="A55" s="55"/>
    </row>
    <row r="56" ht="18.75" customHeight="1">
      <c r="A56" s="55"/>
    </row>
    <row r="57" ht="18.75" customHeight="1">
      <c r="A57" s="55"/>
    </row>
    <row r="58" ht="18.75" customHeight="1">
      <c r="A58" s="55"/>
    </row>
    <row r="59" ht="18.75" customHeight="1">
      <c r="A59" s="55"/>
    </row>
    <row r="60" ht="18.75" customHeight="1">
      <c r="A60" s="55"/>
    </row>
    <row r="61" ht="18.75" customHeight="1">
      <c r="A61" s="55"/>
    </row>
    <row r="62" ht="18.75" customHeight="1">
      <c r="A62" s="55"/>
    </row>
    <row r="63" ht="18.75" customHeight="1">
      <c r="A63" s="55"/>
    </row>
    <row r="64" ht="18.75" customHeight="1">
      <c r="A64" s="55"/>
    </row>
    <row r="65" ht="18.75" customHeight="1">
      <c r="A65" s="55"/>
    </row>
    <row r="66" ht="18.75" customHeight="1">
      <c r="A66" s="55"/>
    </row>
    <row r="67" ht="18.75" customHeight="1">
      <c r="A67" s="55"/>
    </row>
    <row r="68" ht="18.75" customHeight="1">
      <c r="A68" s="55"/>
    </row>
    <row r="69" ht="18.75" customHeight="1">
      <c r="A69" s="55"/>
    </row>
    <row r="70" ht="18.75" customHeight="1">
      <c r="A70" s="55"/>
    </row>
    <row r="71" ht="18.75" customHeight="1">
      <c r="A71" s="55"/>
    </row>
    <row r="72" ht="18.75" customHeight="1">
      <c r="A72" s="55"/>
    </row>
    <row r="73" ht="18.75" customHeight="1">
      <c r="A73" s="55"/>
    </row>
    <row r="74" ht="18.75" customHeight="1">
      <c r="A74" s="55"/>
    </row>
    <row r="75" ht="18.75" customHeight="1">
      <c r="A75" s="55"/>
    </row>
    <row r="76" ht="18.75" customHeight="1">
      <c r="A76" s="55"/>
    </row>
    <row r="77" ht="18.75" customHeight="1">
      <c r="A77" s="55"/>
    </row>
    <row r="78" ht="18.75" customHeight="1">
      <c r="A78" s="55"/>
    </row>
    <row r="79" ht="18.75" customHeight="1">
      <c r="A79" s="55"/>
    </row>
    <row r="80" ht="18.75" customHeight="1">
      <c r="A80" s="55"/>
    </row>
    <row r="81" ht="18.75" customHeight="1">
      <c r="A81" s="55"/>
    </row>
    <row r="82" ht="18.75" customHeight="1">
      <c r="A82" s="55"/>
    </row>
    <row r="83" ht="18.75" customHeight="1">
      <c r="A83" s="55"/>
    </row>
    <row r="84" ht="18.75" customHeight="1">
      <c r="A84" s="55"/>
    </row>
    <row r="85" ht="18.75" customHeight="1">
      <c r="A85" s="55"/>
    </row>
    <row r="86" ht="18.75" customHeight="1">
      <c r="A86" s="55"/>
    </row>
    <row r="87" ht="18.75" customHeight="1">
      <c r="A87" s="55"/>
    </row>
    <row r="88" ht="18.75" customHeight="1">
      <c r="A88" s="55"/>
    </row>
    <row r="89" ht="18.75" customHeight="1">
      <c r="A89" s="55"/>
    </row>
    <row r="90" ht="18.75" customHeight="1">
      <c r="A90" s="55"/>
    </row>
    <row r="91" ht="18.75" customHeight="1">
      <c r="A91" s="55"/>
    </row>
    <row r="92" ht="18.75" customHeight="1">
      <c r="A92" s="55"/>
    </row>
    <row r="93" ht="18.75" customHeight="1">
      <c r="A93" s="55"/>
    </row>
    <row r="94" ht="18.75" customHeight="1">
      <c r="A94" s="55"/>
    </row>
    <row r="95" ht="18.75" customHeight="1">
      <c r="A95" s="55"/>
    </row>
    <row r="96" ht="18.75" customHeight="1">
      <c r="A96" s="55"/>
    </row>
    <row r="97" ht="18.75" customHeight="1">
      <c r="A97" s="55"/>
    </row>
    <row r="98" ht="18.75" customHeight="1">
      <c r="A98" s="55"/>
    </row>
    <row r="99" ht="18.75" customHeight="1">
      <c r="A99" s="55"/>
    </row>
    <row r="100" ht="18.75" customHeight="1">
      <c r="A100" s="55"/>
    </row>
    <row r="101" ht="18.75" customHeight="1">
      <c r="A101" s="55"/>
    </row>
    <row r="102" ht="18.75" customHeight="1">
      <c r="A102" s="55"/>
    </row>
    <row r="103" ht="18.75" customHeight="1">
      <c r="A103" s="55"/>
    </row>
    <row r="104" ht="18.75" customHeight="1">
      <c r="A104" s="55"/>
    </row>
    <row r="105" ht="18.75" customHeight="1">
      <c r="A105" s="55"/>
    </row>
    <row r="106" ht="18.75" customHeight="1">
      <c r="A106" s="55"/>
    </row>
    <row r="107" ht="18.75" customHeight="1">
      <c r="A107" s="55"/>
    </row>
    <row r="108" ht="18.75" customHeight="1">
      <c r="A108" s="55"/>
    </row>
    <row r="109" ht="18.75" customHeight="1">
      <c r="A109" s="55"/>
    </row>
    <row r="110" ht="18.75" customHeight="1">
      <c r="A110" s="55"/>
    </row>
    <row r="111" ht="18.75" customHeight="1">
      <c r="A111" s="55"/>
    </row>
    <row r="112" ht="18.75" customHeight="1">
      <c r="A112" s="55"/>
    </row>
    <row r="113" ht="18.75" customHeight="1">
      <c r="A113" s="55"/>
    </row>
    <row r="114" ht="18.75" customHeight="1">
      <c r="A114" s="55"/>
    </row>
    <row r="115" ht="18.75" customHeight="1">
      <c r="A115" s="55"/>
    </row>
    <row r="116" ht="18.75" customHeight="1">
      <c r="A116" s="55"/>
    </row>
    <row r="117" ht="18.75" customHeight="1">
      <c r="A117" s="55"/>
    </row>
    <row r="118" ht="18.75" customHeight="1">
      <c r="A118" s="55"/>
    </row>
    <row r="119" ht="18.75" customHeight="1">
      <c r="A119" s="55"/>
    </row>
    <row r="120" ht="18.75" customHeight="1">
      <c r="A120" s="55"/>
    </row>
    <row r="121" ht="18.75" customHeight="1">
      <c r="A121" s="55"/>
    </row>
    <row r="122" ht="18.75" customHeight="1">
      <c r="A122" s="55"/>
    </row>
    <row r="123" ht="18.75" customHeight="1">
      <c r="A123" s="55"/>
    </row>
    <row r="124" ht="18.75" customHeight="1">
      <c r="A124" s="55"/>
    </row>
    <row r="125" ht="18.75" customHeight="1">
      <c r="A125" s="55"/>
    </row>
    <row r="126" ht="18.75" customHeight="1">
      <c r="A126" s="55"/>
    </row>
    <row r="127" ht="18.75" customHeight="1">
      <c r="A127" s="55"/>
    </row>
    <row r="128" ht="18.75" customHeight="1">
      <c r="A128" s="55"/>
    </row>
    <row r="129" ht="18.75" customHeight="1">
      <c r="A129" s="55"/>
    </row>
    <row r="130" ht="18.75" customHeight="1">
      <c r="A130" s="55"/>
    </row>
    <row r="131" ht="18.75" customHeight="1">
      <c r="A131" s="55"/>
    </row>
    <row r="132" ht="18.75" customHeight="1">
      <c r="A132" s="55"/>
    </row>
    <row r="133" ht="18.75" customHeight="1">
      <c r="A133" s="55"/>
    </row>
    <row r="134" ht="18.75" customHeight="1">
      <c r="A134" s="55"/>
    </row>
    <row r="135" ht="18.75" customHeight="1">
      <c r="A135" s="55"/>
    </row>
    <row r="136" ht="18.75" customHeight="1">
      <c r="A136" s="55"/>
    </row>
    <row r="137" ht="18.75" customHeight="1">
      <c r="A137" s="55"/>
    </row>
    <row r="138" ht="18.75" customHeight="1">
      <c r="A138" s="55"/>
    </row>
    <row r="139" ht="18.75" customHeight="1">
      <c r="A139" s="55"/>
    </row>
    <row r="140" ht="18.75" customHeight="1">
      <c r="A140" s="55"/>
    </row>
    <row r="141" ht="18.75" customHeight="1">
      <c r="A141" s="55"/>
    </row>
    <row r="142" ht="18.75" customHeight="1">
      <c r="A142" s="55"/>
    </row>
    <row r="143" ht="18.75" customHeight="1">
      <c r="A143" s="55"/>
    </row>
    <row r="144" ht="18.75" customHeight="1">
      <c r="A144" s="55"/>
    </row>
    <row r="145" ht="18.75" customHeight="1">
      <c r="A145" s="55"/>
    </row>
    <row r="146" ht="18.75" customHeight="1">
      <c r="A146" s="55"/>
    </row>
    <row r="147" ht="18.75" customHeight="1">
      <c r="A147" s="55"/>
    </row>
    <row r="148" ht="18.75" customHeight="1">
      <c r="A148" s="55"/>
    </row>
    <row r="149" ht="18.75" customHeight="1">
      <c r="A149" s="55"/>
    </row>
    <row r="150" ht="18.75" customHeight="1">
      <c r="A150" s="55"/>
    </row>
    <row r="151" ht="18.75" customHeight="1">
      <c r="A151" s="55"/>
    </row>
    <row r="152" ht="18.75" customHeight="1">
      <c r="A152" s="55"/>
    </row>
    <row r="153" ht="18.75" customHeight="1">
      <c r="A153" s="55"/>
    </row>
    <row r="154" ht="18.75" customHeight="1">
      <c r="A154" s="55"/>
    </row>
    <row r="155" ht="18.75" customHeight="1">
      <c r="A155" s="55"/>
    </row>
    <row r="156" ht="18.75" customHeight="1">
      <c r="A156" s="55"/>
    </row>
    <row r="157" ht="18.75" customHeight="1">
      <c r="A157" s="55"/>
    </row>
    <row r="158" ht="18.75" customHeight="1">
      <c r="A158" s="55"/>
    </row>
    <row r="159" ht="18.75" customHeight="1">
      <c r="A159" s="55"/>
    </row>
    <row r="160" ht="18.75" customHeight="1">
      <c r="A160" s="55"/>
    </row>
    <row r="161" ht="18.75" customHeight="1">
      <c r="A161" s="55"/>
    </row>
    <row r="162" ht="18.75" customHeight="1">
      <c r="A162" s="55"/>
    </row>
    <row r="163" ht="18.75" customHeight="1">
      <c r="A163" s="55"/>
    </row>
    <row r="164" ht="18.75" customHeight="1">
      <c r="A164" s="55"/>
    </row>
    <row r="165" ht="18.75" customHeight="1">
      <c r="A165" s="55"/>
    </row>
    <row r="166" ht="18.75" customHeight="1">
      <c r="A166" s="55"/>
    </row>
    <row r="167" ht="18.75" customHeight="1">
      <c r="A167" s="55"/>
    </row>
    <row r="168" ht="18.75" customHeight="1">
      <c r="A168" s="55"/>
    </row>
    <row r="169" ht="18.75" customHeight="1">
      <c r="A169" s="55"/>
    </row>
    <row r="170" ht="18.75" customHeight="1">
      <c r="A170" s="55"/>
    </row>
    <row r="171" ht="18.75" customHeight="1">
      <c r="A171" s="55"/>
    </row>
    <row r="172" ht="18.75" customHeight="1">
      <c r="A172" s="55"/>
    </row>
    <row r="173" ht="18.75" customHeight="1">
      <c r="A173" s="55"/>
    </row>
    <row r="174" ht="18.75" customHeight="1">
      <c r="A174" s="55"/>
    </row>
    <row r="175" ht="18.75" customHeight="1">
      <c r="A175" s="55"/>
    </row>
    <row r="176" ht="18.75" customHeight="1">
      <c r="A176" s="55"/>
    </row>
    <row r="177" ht="18.75" customHeight="1">
      <c r="A177" s="55"/>
    </row>
    <row r="178" ht="18.75" customHeight="1">
      <c r="A178" s="55"/>
    </row>
    <row r="179" ht="18.75" customHeight="1">
      <c r="A179" s="55"/>
    </row>
    <row r="180" ht="18.75" customHeight="1">
      <c r="A180" s="55"/>
    </row>
    <row r="181" ht="18.75" customHeight="1">
      <c r="A181" s="55"/>
    </row>
    <row r="182" ht="18.75" customHeight="1">
      <c r="A182" s="55"/>
    </row>
    <row r="183" ht="18.75" customHeight="1">
      <c r="A183" s="55"/>
    </row>
    <row r="184" ht="18.75" customHeight="1">
      <c r="A184" s="55"/>
    </row>
    <row r="185" ht="18.75" customHeight="1">
      <c r="A185" s="55"/>
    </row>
    <row r="186" ht="18.75" customHeight="1">
      <c r="A186" s="55"/>
    </row>
    <row r="187" ht="18.75" customHeight="1">
      <c r="A187" s="55"/>
    </row>
    <row r="188" ht="18.75" customHeight="1">
      <c r="A188" s="55"/>
    </row>
    <row r="189" ht="18.75" customHeight="1">
      <c r="A189" s="55"/>
    </row>
    <row r="190" ht="18.75" customHeight="1">
      <c r="A190" s="55"/>
    </row>
    <row r="191" ht="18.75" customHeight="1">
      <c r="A191" s="55"/>
    </row>
    <row r="192" ht="18.75" customHeight="1">
      <c r="A192" s="55"/>
    </row>
    <row r="193" ht="18.75" customHeight="1">
      <c r="A193" s="55"/>
    </row>
    <row r="194" ht="18.75" customHeight="1">
      <c r="A194" s="55"/>
    </row>
    <row r="195" ht="18.75" customHeight="1">
      <c r="A195" s="55"/>
    </row>
    <row r="196" ht="18.75" customHeight="1">
      <c r="A196" s="55"/>
    </row>
    <row r="197" ht="18.75" customHeight="1">
      <c r="A197" s="55"/>
    </row>
    <row r="198" ht="18.75" customHeight="1">
      <c r="A198" s="55"/>
    </row>
    <row r="199" ht="18.75" customHeight="1">
      <c r="A199" s="55"/>
    </row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mergeCells count="4">
    <mergeCell ref="A11:C11"/>
    <mergeCell ref="D11:E11"/>
    <mergeCell ref="F11:G11"/>
    <mergeCell ref="H11:I1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