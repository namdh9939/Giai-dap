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40.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45.xml"/>
  <Override ContentType="application/vnd.openxmlformats-officedocument.spreadsheetml.worksheet+xml" PartName="/xl/worksheets/sheet6.xml"/>
  <Override ContentType="application/vnd.openxmlformats-officedocument.spreadsheetml.worksheet+xml" PartName="/xl/worksheets/sheet36.xml"/>
  <Override ContentType="application/vnd.openxmlformats-officedocument.spreadsheetml.worksheet+xml" PartName="/xl/worksheets/sheet16.xml"/>
  <Override ContentType="application/vnd.openxmlformats-officedocument.spreadsheetml.worksheet+xml" PartName="/xl/worksheets/sheet41.xml"/>
  <Override ContentType="application/vnd.openxmlformats-officedocument.spreadsheetml.worksheet+xml" PartName="/xl/worksheets/sheet5.xml"/>
  <Override ContentType="application/vnd.openxmlformats-officedocument.spreadsheetml.worksheet+xml" PartName="/xl/worksheets/sheet46.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33.xml"/>
  <Override ContentType="application/vnd.openxmlformats-officedocument.spreadsheetml.worksheet+xml" PartName="/xl/worksheets/sheet4.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42.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43.xml"/>
  <Override ContentType="application/vnd.openxmlformats-officedocument.spreadsheetml.worksheet+xml" PartName="/xl/worksheets/sheet14.xml"/>
  <Override ContentType="application/vnd.openxmlformats-officedocument.spreadsheetml.worksheet+xml" PartName="/xl/worksheets/sheet4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worksheet+xml" PartName="/xl/worksheets/sheet35.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3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43.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34.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44.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35.xml"/>
  <Override ContentType="application/vnd.openxmlformats-officedocument.drawing+xml" PartName="/xl/drawings/drawing10.xml"/>
  <Override ContentType="application/vnd.openxmlformats-officedocument.drawing+xml" PartName="/xl/drawings/drawing45.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40.xml"/>
  <Override ContentType="application/vnd.openxmlformats-officedocument.drawing+xml" PartName="/xl/drawings/drawing1.xml"/>
  <Override ContentType="application/vnd.openxmlformats-officedocument.drawing+xml" PartName="/xl/drawings/drawing36.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33.xml"/>
  <Override ContentType="application/vnd.openxmlformats-officedocument.drawing+xml" PartName="/xl/drawings/drawing38.xml"/>
  <Override ContentType="application/vnd.openxmlformats-officedocument.drawing+xml" PartName="/xl/drawings/drawing46.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41.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42.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37.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NH MỤC" sheetId="1" r:id="rId4"/>
    <sheet state="visible" name="BM1  " sheetId="2" r:id="rId5"/>
    <sheet state="visible" name="BM2 " sheetId="3" r:id="rId6"/>
    <sheet state="visible" name="BM3 " sheetId="4" r:id="rId7"/>
    <sheet state="visible" name="BM4 " sheetId="5" r:id="rId8"/>
    <sheet state="visible" name="BM5 " sheetId="6" r:id="rId9"/>
    <sheet state="visible" name="BM06 " sheetId="7" r:id="rId10"/>
    <sheet state="visible" name="BM07 " sheetId="8" r:id="rId11"/>
    <sheet state="visible" name="BM08  " sheetId="9" r:id="rId12"/>
    <sheet state="visible" name="BM09 " sheetId="10" r:id="rId13"/>
    <sheet state="visible" name="BM10 " sheetId="11" r:id="rId14"/>
    <sheet state="visible" name="BM11 " sheetId="12" r:id="rId15"/>
    <sheet state="visible" name="BM12 " sheetId="13" r:id="rId16"/>
    <sheet state="visible" name="BM13 " sheetId="14" r:id="rId17"/>
    <sheet state="visible" name="BM14" sheetId="15" r:id="rId18"/>
    <sheet state="visible" name="BM15" sheetId="16" r:id="rId19"/>
    <sheet state="visible" name="BM16" sheetId="17" r:id="rId20"/>
    <sheet state="visible" name="BM17" sheetId="18" r:id="rId21"/>
    <sheet state="visible" name="BM18" sheetId="19" r:id="rId22"/>
    <sheet state="visible" name="BM19" sheetId="20" r:id="rId23"/>
    <sheet state="visible" name="BM20" sheetId="21" r:id="rId24"/>
    <sheet state="visible" name="BM21" sheetId="22" r:id="rId25"/>
    <sheet state="visible" name="BM22" sheetId="23" r:id="rId26"/>
    <sheet state="visible" name="BM23" sheetId="24" r:id="rId27"/>
    <sheet state="visible" name="BM24" sheetId="25" r:id="rId28"/>
    <sheet state="visible" name="BM25" sheetId="26" r:id="rId29"/>
    <sheet state="visible" name="BM26" sheetId="27" r:id="rId30"/>
    <sheet state="visible" name="BM27" sheetId="28" r:id="rId31"/>
    <sheet state="visible" name="BM28" sheetId="29" r:id="rId32"/>
    <sheet state="visible" name="BM29" sheetId="30" r:id="rId33"/>
    <sheet state="visible" name="BM30" sheetId="31" r:id="rId34"/>
    <sheet state="visible" name="BM31" sheetId="32" r:id="rId35"/>
    <sheet state="visible" name="BM32" sheetId="33" r:id="rId36"/>
    <sheet state="visible" name="BM33" sheetId="34" r:id="rId37"/>
    <sheet state="visible" name="BM34" sheetId="35" r:id="rId38"/>
    <sheet state="visible" name="BM35" sheetId="36" r:id="rId39"/>
    <sheet state="visible" name="BM36" sheetId="37" r:id="rId40"/>
    <sheet state="visible" name="BM37" sheetId="38" r:id="rId41"/>
    <sheet state="visible" name="BM38" sheetId="39" r:id="rId42"/>
    <sheet state="visible" name="BM39" sheetId="40" r:id="rId43"/>
    <sheet state="visible" name="BM40" sheetId="41" r:id="rId44"/>
    <sheet state="visible" name="BM41" sheetId="42" r:id="rId45"/>
    <sheet state="visible" name="BM42" sheetId="43" r:id="rId46"/>
    <sheet state="visible" name="BM43" sheetId="44" r:id="rId47"/>
    <sheet state="visible" name="BM44" sheetId="45" r:id="rId48"/>
    <sheet state="visible" name="BM45" sheetId="46" r:id="rId49"/>
  </sheets>
  <definedNames/>
  <calcPr/>
  <extLst>
    <ext uri="GoogleSheetsCustomDataVersion2">
      <go:sheetsCustomData xmlns:go="http://customooxmlschemas.google.com/" r:id="rId50" roundtripDataChecksum="orF65iHCodc+Jbs7xv+qholZGsE58dz9nhmsvX2O8cE="/>
    </ext>
  </extLst>
</workbook>
</file>

<file path=xl/sharedStrings.xml><?xml version="1.0" encoding="utf-8"?>
<sst xmlns="http://schemas.openxmlformats.org/spreadsheetml/2006/main" count="2216" uniqueCount="819">
  <si>
    <t>DANH MỤC CHECKLIST KIỂM SOÁT CHẤT LƯỢNG THI CÔNG</t>
  </si>
  <si>
    <t>Công trình:</t>
  </si>
  <si>
    <t>Địa điểm:</t>
  </si>
  <si>
    <t>TT</t>
  </si>
  <si>
    <t>Nội dung</t>
  </si>
  <si>
    <t>Biểu mẫu</t>
  </si>
  <si>
    <t>Cọc</t>
  </si>
  <si>
    <t>Ép cọc bê tông</t>
  </si>
  <si>
    <t>Đúc cọc tại hiện trường</t>
  </si>
  <si>
    <t xml:space="preserve">BM1  </t>
  </si>
  <si>
    <t>Cọc bê tông đúc sẵn</t>
  </si>
  <si>
    <t xml:space="preserve">BM2 </t>
  </si>
  <si>
    <t>Ép cọc</t>
  </si>
  <si>
    <t xml:space="preserve">BM3 </t>
  </si>
  <si>
    <t>Cắt đầu cọc ly tâm</t>
  </si>
  <si>
    <t xml:space="preserve">BM4 </t>
  </si>
  <si>
    <t>Phá đầu cọc bê tông</t>
  </si>
  <si>
    <t xml:space="preserve">BM5 </t>
  </si>
  <si>
    <t>Cọc khoan nhồi</t>
  </si>
  <si>
    <t>Định vị tim cọc, hạ ống casing</t>
  </si>
  <si>
    <t xml:space="preserve">BM06 </t>
  </si>
  <si>
    <t>Công tác khoan tạo lỗ</t>
  </si>
  <si>
    <t xml:space="preserve">BM07 </t>
  </si>
  <si>
    <t>Kiểm tra nghiệm thu lồng thép</t>
  </si>
  <si>
    <t xml:space="preserve">BM08  </t>
  </si>
  <si>
    <t>Kiểm tra công tác vét lắng, dung dịch giữ thành hố khoan</t>
  </si>
  <si>
    <t xml:space="preserve">BM09 </t>
  </si>
  <si>
    <t>Kiểm tra công tác hạ lồng thép</t>
  </si>
  <si>
    <t xml:space="preserve">BM10 </t>
  </si>
  <si>
    <t>Kiểm tra công tác hạ ống đổ, thổi rửa lần 2</t>
  </si>
  <si>
    <t xml:space="preserve">BM11 </t>
  </si>
  <si>
    <t>Kiểm tra dung dịch giữ thành hố khoan, công tác đổ bê tông</t>
  </si>
  <si>
    <t xml:space="preserve">BM12 </t>
  </si>
  <si>
    <t>Công tác hạ kingpost</t>
  </si>
  <si>
    <t xml:space="preserve">BM13 </t>
  </si>
  <si>
    <t>Công tác lấp đất đầu cọc có kingpost</t>
  </si>
  <si>
    <t>BM14</t>
  </si>
  <si>
    <t>Móng</t>
  </si>
  <si>
    <t>Đào đất móng</t>
  </si>
  <si>
    <t>BM15</t>
  </si>
  <si>
    <t>Gia công lắp dựng cốt thép móng, cổ cột</t>
  </si>
  <si>
    <t>BM16</t>
  </si>
  <si>
    <t>Gia công lắp dựng ván khuôn móng</t>
  </si>
  <si>
    <t>BM17</t>
  </si>
  <si>
    <t>Đổ bê tông móng</t>
  </si>
  <si>
    <t>BM18</t>
  </si>
  <si>
    <t>Lấp đất móng</t>
  </si>
  <si>
    <t>BM19</t>
  </si>
  <si>
    <t>Phần thân thô</t>
  </si>
  <si>
    <t>Gia công lắp dựng cốt thép cột, vách</t>
  </si>
  <si>
    <t>BM20</t>
  </si>
  <si>
    <t>Gia công lắp dựng ván khuôn cột, vách</t>
  </si>
  <si>
    <t>BM21</t>
  </si>
  <si>
    <t>Công tác đổ bê tông cột, vách</t>
  </si>
  <si>
    <t>BM22</t>
  </si>
  <si>
    <t>Gia công lắp dựng ván khuôn dầm sàn</t>
  </si>
  <si>
    <t>BM23</t>
  </si>
  <si>
    <t>Gia công lắp dựng cốt thép dầm sàn</t>
  </si>
  <si>
    <t>BM24</t>
  </si>
  <si>
    <t>Bê tông dầm sàn</t>
  </si>
  <si>
    <t>BM25</t>
  </si>
  <si>
    <t>Phần hoàn thiện</t>
  </si>
  <si>
    <t>Xây tường</t>
  </si>
  <si>
    <t>BM26</t>
  </si>
  <si>
    <t>Lanh tô, trụ tường</t>
  </si>
  <si>
    <t>BM27</t>
  </si>
  <si>
    <t>Tô/Trát</t>
  </si>
  <si>
    <t>BM28</t>
  </si>
  <si>
    <t>Chống thấm nền vệ sinh</t>
  </si>
  <si>
    <t>BM29</t>
  </si>
  <si>
    <t>Láng nền sàn</t>
  </si>
  <si>
    <t>BM30</t>
  </si>
  <si>
    <t>Ốp gạch</t>
  </si>
  <si>
    <t>BM31</t>
  </si>
  <si>
    <t>Lát gạch</t>
  </si>
  <si>
    <t>BM32</t>
  </si>
  <si>
    <t>Lát đá</t>
  </si>
  <si>
    <t>BM33</t>
  </si>
  <si>
    <t>Treo đá</t>
  </si>
  <si>
    <t>BM34</t>
  </si>
  <si>
    <t>Bả</t>
  </si>
  <si>
    <t>BM35</t>
  </si>
  <si>
    <t>Sơn</t>
  </si>
  <si>
    <t>BM36</t>
  </si>
  <si>
    <t>Trần thạch cao</t>
  </si>
  <si>
    <t>BM37</t>
  </si>
  <si>
    <t>Lát sàn gỗ công nghiệp</t>
  </si>
  <si>
    <t>BM38</t>
  </si>
  <si>
    <t>Lắp đặt xà gồ, mái tôn</t>
  </si>
  <si>
    <t>BM39</t>
  </si>
  <si>
    <t>Lắp đặt mái ngói trên sàn BTCT</t>
  </si>
  <si>
    <t>BM40</t>
  </si>
  <si>
    <t>Lắp dựng cửa nhôm, vách kính</t>
  </si>
  <si>
    <t>BM41</t>
  </si>
  <si>
    <t>Lắp đặt cửa gỗ</t>
  </si>
  <si>
    <t>BM42</t>
  </si>
  <si>
    <t>Lắp đặt cửa chống cháy</t>
  </si>
  <si>
    <t>BM43</t>
  </si>
  <si>
    <t xml:space="preserve">Lắp đặt lan can </t>
  </si>
  <si>
    <t>BM44</t>
  </si>
  <si>
    <t>Lắp đặt tủ bếp</t>
  </si>
  <si>
    <t>Lắp đặt lavabo</t>
  </si>
  <si>
    <t>Lắp đặt tủ âm tường</t>
  </si>
  <si>
    <t>MEP</t>
  </si>
  <si>
    <t>Lắp đặt ống điện âm tường</t>
  </si>
  <si>
    <t>Lắp đặt ống điện âm sàn</t>
  </si>
  <si>
    <t>Thi công luồn dây điện</t>
  </si>
  <si>
    <t>Lắp đặt thiết bị chiếu sáng</t>
  </si>
  <si>
    <t>Lắp đặt ổ cắm</t>
  </si>
  <si>
    <t>Thi công hệ thống nước thoát</t>
  </si>
  <si>
    <t>Thi công hệ thống ống cấp nóng, lạnh</t>
  </si>
  <si>
    <t>CÔNG TY TNHH THƯƠNG MẠI VÀ DỊCH VỤ XÂY DỰNG NHÀ CỦA MÌNH AC</t>
  </si>
  <si>
    <t>CỘNG HÒA XÃ HỘI CHỦ NGHĨA VIỆT NAM</t>
  </si>
  <si>
    <t>Độc Lập - Tự Do - Hạnh Phúc</t>
  </si>
  <si>
    <t>Ngày…..tháng…..năm 202…..</t>
  </si>
  <si>
    <t>CHECKLIST KIỂM TRA</t>
  </si>
  <si>
    <t>Ấn để trở về sheet " Danh mục"</t>
  </si>
  <si>
    <t xml:space="preserve">                                    Công trình: </t>
  </si>
  <si>
    <t>Công tác</t>
  </si>
  <si>
    <t>Công việc kiểm tra:</t>
  </si>
  <si>
    <t>Phương pháp kiểm tra</t>
  </si>
  <si>
    <t>Mức cho phép</t>
  </si>
  <si>
    <t>Đánh giá</t>
  </si>
  <si>
    <t>Ghi chú</t>
  </si>
  <si>
    <t>Đạt</t>
  </si>
  <si>
    <t>K.Đạt</t>
  </si>
  <si>
    <t>Công tác thép</t>
  </si>
  <si>
    <t>Chủng loại, đường kính</t>
  </si>
  <si>
    <t>ĐK đo bằng thước kẹp</t>
  </si>
  <si>
    <t>Chủng loại theo HĐ (VL đã được nghiệm thu đầu vào)</t>
  </si>
  <si>
    <t>TCVN 4453:1995</t>
  </si>
  <si>
    <t>Chiều dài thép</t>
  </si>
  <si>
    <t>Đo bằng thước</t>
  </si>
  <si>
    <t/>
  </si>
  <si>
    <t>Định vị các thanh thép</t>
  </si>
  <si>
    <t>Vị trí mối nối</t>
  </si>
  <si>
    <t>Theo bản Shopdrawing</t>
  </si>
  <si>
    <t>TC chưa quy định</t>
  </si>
  <si>
    <t>Chiều dài mối nối</t>
  </si>
  <si>
    <t>Theo quy định trong HSTK</t>
  </si>
  <si>
    <t>Dầm tường ≥40D 
KC khác ≥30D</t>
  </si>
  <si>
    <t>Chiều dày lớp bê tông bảo vệ</t>
  </si>
  <si>
    <t>Tối thiểu 4cm</t>
  </si>
  <si>
    <t>TCVN 5574:2012</t>
  </si>
  <si>
    <t>Công tác vệ sinh cốt thép</t>
  </si>
  <si>
    <t>Mắt thường</t>
  </si>
  <si>
    <t>Không bám bẩn</t>
  </si>
  <si>
    <t>Bản mã đầu cọc</t>
  </si>
  <si>
    <t>Theo TK</t>
  </si>
  <si>
    <t xml:space="preserve">Mũi cọc  </t>
  </si>
  <si>
    <t>Công tác ván khuôn</t>
  </si>
  <si>
    <t>Kích thước hình học</t>
  </si>
  <si>
    <t>Sai lệch +/-3 mm</t>
  </si>
  <si>
    <t>Độ chắc chắn và kín khít của ván khuôn.</t>
  </si>
  <si>
    <t>Sai lệch +2 mm</t>
  </si>
  <si>
    <t xml:space="preserve">Bề mặt ván khuôn </t>
  </si>
  <si>
    <t>Sạch, phẳng, không bám dính.
Sai lệch +/-1mm/m</t>
  </si>
  <si>
    <t>Công tác đổ bê tông cọc</t>
  </si>
  <si>
    <t>Cấp phối bêtông</t>
  </si>
  <si>
    <t>Kiểm tra thiết kế cấp phối</t>
  </si>
  <si>
    <t>Mác yêu cầu cao hơn hoặc bằng TK</t>
  </si>
  <si>
    <t>Công tác đầm</t>
  </si>
  <si>
    <t>Nước XM nổi đều trên bề mặt thì dừng</t>
  </si>
  <si>
    <t>Sai lệch +/-1mm/m</t>
  </si>
  <si>
    <t>Bảo dưỡng</t>
  </si>
  <si>
    <t>Theo dõi</t>
  </si>
  <si>
    <t>3 ngày</t>
  </si>
  <si>
    <t>Chất lượng BT cọc</t>
  </si>
  <si>
    <t>Sai lệch ≤ 2cm
Bề mặt +/-1mm/m</t>
  </si>
  <si>
    <t>Tình trạng bề mặt (nứt, rỗ v.v...)</t>
  </si>
  <si>
    <t>Bề rộng ≤ 0,2mm</t>
  </si>
  <si>
    <t>TCVN 5574:2018</t>
  </si>
  <si>
    <t>Cường độ thí nghiệm bê tông</t>
  </si>
  <si>
    <t>Kết quả thí nghiệm</t>
  </si>
  <si>
    <t>TCVN 3118:1993</t>
  </si>
  <si>
    <t>Ghi chú: Chi tiết các chỉ tiêu xem tiêu chuẩn kỹ thuật quy định tại cột ghi chú</t>
  </si>
  <si>
    <t>GHI CHÚ CHUNG:</t>
  </si>
  <si>
    <t xml:space="preserve"> CHỦ ĐẦU TƯ                                             TRỢ LÝ XÂY NHÀ                                                ĐƠN VỊ THI CÔNG</t>
  </si>
  <si>
    <t>Cọc đúc sẵn</t>
  </si>
  <si>
    <t>Kết quả nén mẫu bê tông</t>
  </si>
  <si>
    <t>Nén 03 mẫu BT hình lập phương kích thước 150x150x150 mm</t>
  </si>
  <si>
    <t>Chiều dài cọc</t>
  </si>
  <si>
    <t>TCVN 286:2003</t>
  </si>
  <si>
    <t>Kích thước, đường kính cọc</t>
  </si>
  <si>
    <t xml:space="preserve"> +5mm</t>
  </si>
  <si>
    <t>Chiều dài  mũi cọc</t>
  </si>
  <si>
    <t>Độ lệch mũi cọc khỏi tâm cọc</t>
  </si>
  <si>
    <t>Mắt thường
Đo bằng thước</t>
  </si>
  <si>
    <t xml:space="preserve"> +10mm</t>
  </si>
  <si>
    <t>Khoảng cách từ tâm móc treo đến đoạn đầu cọc ( nếu có)</t>
  </si>
  <si>
    <t>Độ lệch của móc treo so với trục cọc</t>
  </si>
  <si>
    <t>Độ cong của cọc ( lồi hoặc lõm)</t>
  </si>
  <si>
    <t>Độ võng của đoạn cọc</t>
  </si>
  <si>
    <t>Máy laser</t>
  </si>
  <si>
    <t>1/100 chiều dài đốt cọc</t>
  </si>
  <si>
    <t>Bề mặt cọc</t>
  </si>
  <si>
    <t xml:space="preserve">  - Màu sắc cọc đồng đều, diện tích lẹm, sứt góc, rỗ tổ ong không quá 5% bề mặt, không tập trung.</t>
  </si>
  <si>
    <t>Vết nứt</t>
  </si>
  <si>
    <t>Thước đo chuyên dụng.</t>
  </si>
  <si>
    <t>Công tác ép cọc</t>
  </si>
  <si>
    <t>Định vị tim cọc</t>
  </si>
  <si>
    <t>Máy toàn đạc</t>
  </si>
  <si>
    <t>≤ 0,2D ( D đường kính cọc biên)
≤ 0,3D ( D đường kính cọc giữa)</t>
  </si>
  <si>
    <t>TCVN 9394:2012</t>
  </si>
  <si>
    <t>Chất lượng cọc.</t>
  </si>
  <si>
    <t>Bằng mắt</t>
  </si>
  <si>
    <t>Tổ hợp các đoạn cọc</t>
  </si>
  <si>
    <t>Theo Shopdrawing
được phê duyệt.</t>
  </si>
  <si>
    <t>Vệ sinh mũi cọc</t>
  </si>
  <si>
    <t xml:space="preserve"> Mũi cọc phải vệ sinh sạch sẽ trước khi hàn.</t>
  </si>
  <si>
    <t>Kích thước bản mã hàn cọc</t>
  </si>
  <si>
    <t>Độ thẳng đứng cọc</t>
  </si>
  <si>
    <t>Thước ni vô</t>
  </si>
  <si>
    <t>Độ nghiêng cho phép 1/100 mỗi phương</t>
  </si>
  <si>
    <t>Đường hàn mặt bích nối cọc.</t>
  </si>
  <si>
    <t xml:space="preserve"> - Chiều cao, chiều rộng mối hàn đồng đều, hàn ngấu, không bị khuyết tật. </t>
  </si>
  <si>
    <t>Máy ép cọc</t>
  </si>
  <si>
    <t>Tải trọng máy + đối trọng.</t>
  </si>
  <si>
    <t>Điều kiện dừng ép</t>
  </si>
  <si>
    <t>Đo bằng thước
Mắt thường</t>
  </si>
  <si>
    <t>Công tác cắt đầu cọc</t>
  </si>
  <si>
    <t>Định vị vị trí cắt cọc</t>
  </si>
  <si>
    <t>Máy cắt đầu cọc</t>
  </si>
  <si>
    <t>Tem kiểm định
an toàn</t>
  </si>
  <si>
    <t>Có bộ phận che chắn lưỡi cắt đảm bảo công tác An toàn.</t>
  </si>
  <si>
    <t>Bề mặt cọc sau khi cắt.</t>
  </si>
  <si>
    <t>Bằng  mắt thường</t>
  </si>
  <si>
    <t>Bề mặt cọc phẳng nhẵn, không sứt vỡ.</t>
  </si>
  <si>
    <t>Dọn vệ sinh đầu cọc</t>
  </si>
  <si>
    <t>Bằng mắt thường</t>
  </si>
  <si>
    <t xml:space="preserve"> Đầu cọc thừa sau khi cắt xong phải chuyển ra ngoài công trường.</t>
  </si>
  <si>
    <t>Công tác phá đầu cọc</t>
  </si>
  <si>
    <t>Cao độ đầu cọc hiện trạng trước khi phá bê tông.</t>
  </si>
  <si>
    <t>Theo thực tế</t>
  </si>
  <si>
    <t>Định vị cao độ đầu cọc</t>
  </si>
  <si>
    <t>Bề mặt cọc sau khi phá bê tông</t>
  </si>
  <si>
    <t>Chiều dài phá bê tông đầu cọc</t>
  </si>
  <si>
    <t>Đo thực tế</t>
  </si>
  <si>
    <t xml:space="preserve">Cốt thép đầu cọc
Chủng loại, đường kính, số lượng thép chủ. 
Vị trí chiều dài thanh thép đầu cọc
</t>
  </si>
  <si>
    <t>Đo bằng thước
Bằng mắt thường.</t>
  </si>
  <si>
    <t>Theo thiết kế. ( Thường ≥ 30D )</t>
  </si>
  <si>
    <t>Dọn vệ sinh bê tông đầu cọc</t>
  </si>
  <si>
    <t xml:space="preserve"> Bê tông đầu cọc sau khi phá phải chuyển ra ngoài công trường.</t>
  </si>
  <si>
    <t>Kiểm tra cao độ mặt đất tự nhiên</t>
  </si>
  <si>
    <t>Máy toàn đạc
Máy thủy bình</t>
  </si>
  <si>
    <t>Định vị tim cọc ( Miệng casing)</t>
  </si>
  <si>
    <t xml:space="preserve">
Máy toàn đạc
</t>
  </si>
  <si>
    <t>1. D≤100cm:
a. Cọc biên: D/6 nhưng ≤10cm
b. Cọc giữa: D/4 nhưng ≤15cm
2. D&gt;100cm
a. Cọc biên: 10+0.01H
b. Cọc giữa: 15+0.01H
(D: đường kính cọc, H: chiều cao từ mặt đất thực tế đến điểm cắt cọc)</t>
  </si>
  <si>
    <t>TCVN 9395-2012</t>
  </si>
  <si>
    <t>Hạ ống casing</t>
  </si>
  <si>
    <t>BPTC được phê duyệt</t>
  </si>
  <si>
    <t>Kiểm tra cao độ đỉnh casing</t>
  </si>
  <si>
    <t>Cao hơn mđtn tối thiểu là 30cm</t>
  </si>
  <si>
    <t>Độ thẳng đứng casing</t>
  </si>
  <si>
    <t>Kiểm tra đường kính gàu khoan</t>
  </si>
  <si>
    <t>Thước mét</t>
  </si>
  <si>
    <t>Kiểm tra thiết bị khoan: độ thẳng đứng cần khoan.</t>
  </si>
  <si>
    <t xml:space="preserve">
Máy toàn đạc
Dây dọi
</t>
  </si>
  <si>
    <t>Kiểm tra dung dịch trước khi khoan( PH, độ nhớt, tỉ trọng, hàm lượng cát…)</t>
  </si>
  <si>
    <t xml:space="preserve">
Dụng cụ chuyên dụng
</t>
  </si>
  <si>
    <t>1. Khối lượng riêng: 1 ÷ 1.04g/ml 
2. Độ nhớt: 32÷45 giây
3. Hàm lượng cát:&lt;1% 
4. Độ PH: 8-10.5 
Hoặc theo quy định của từng nhà sản xuất</t>
  </si>
  <si>
    <t>Kiểm tra chiều sâu các lớp địa chất cọc</t>
  </si>
  <si>
    <t>Kiểm tra chiều sâu chạm sỏi đá.</t>
  </si>
  <si>
    <t>Thước dây không dãn, quả dọi tiêu chuẩn</t>
  </si>
  <si>
    <t>Theo hồ sơ thiết kế quy định</t>
  </si>
  <si>
    <t>Kiểm tra dung dịch giữ thành trong lúc khoan.</t>
  </si>
  <si>
    <t>Dụng cụ chuyên dụng</t>
  </si>
  <si>
    <t>Kiểm tra chiều sâu kết thúc khoan tạo lỗ.</t>
  </si>
  <si>
    <t>± 10 cm</t>
  </si>
  <si>
    <t>Kiểm tra độ thẳng đứng của hố khoan</t>
  </si>
  <si>
    <t xml:space="preserve"> Koden</t>
  </si>
  <si>
    <t xml:space="preserve">Theo yêu cầu của thiết kế, nếu thiết kế không quy định lấy giá trị: ≤ 1% </t>
  </si>
  <si>
    <t>Công tác kiểm tra lồng thép</t>
  </si>
  <si>
    <t>Số lượng, đường kính, kích thước thép chủ, thép đai</t>
  </si>
  <si>
    <t>Thước dây, thước mét</t>
  </si>
  <si>
    <t>1. Cự ly giữa các cốt thép chủ: ± 10 mm
2. Cự ly cốt đai hoặc cốt lò xo: ± 20 mm
3. Đường kính lồng thép: ± 10mm
4. Độ dài lồng thép : ± 50 mm</t>
  </si>
  <si>
    <t>Kiểm tra số lượng, đường kính và hàn nối ống siêu âm</t>
  </si>
  <si>
    <t>Thước kẹp, bẳng trực quan</t>
  </si>
  <si>
    <t>Biện pháp thi công phê duyệt</t>
  </si>
  <si>
    <t>Kiểm tra kích thước, chủng loại, số lượng con kê</t>
  </si>
  <si>
    <t>Bằng trực quan</t>
  </si>
  <si>
    <t>Công tác vét lắng, dung dịch giữ thành hố khoan</t>
  </si>
  <si>
    <t>Kiểm tra công tác vét lắng lần 1</t>
  </si>
  <si>
    <t xml:space="preserve">Dùng gầu vét, kiểm tra bằng thước dây không dãn và quả dọi </t>
  </si>
  <si>
    <t>Tối thiểu bằng chiều sâu kết thúc khoan
Kiểm tra cao độ Casing sau khi vét lắng</t>
  </si>
  <si>
    <t>Kiểm tra dung dịch giữ thành trước lúc hạ lồng ( Bentonite)</t>
  </si>
  <si>
    <t>1. Khối lượng riêng: 1.05 ÷ 1.15g/ml
2. Độ nhớt: 18÷45 giây
3. Hàm lượng cát:&lt;6%
4. Độ PH: 7-9
Hoặc theo quy định của từng nhà sản xuất</t>
  </si>
  <si>
    <t>Kiểm tra dung dịch giữ thành trước lúc hạ lồng ( Polyme)</t>
  </si>
  <si>
    <t>1. Khối lượng riêng: 1 ÷ 1.04g/ml
2. Độ nhớt: 32÷45 giây
3. Hàm lượng cát:&lt;1%
4. Độ PH: 8-10.5
Hoặc theo quy định của từng nhà sản xuất</t>
  </si>
  <si>
    <t>Công tác hạ lồng thép</t>
  </si>
  <si>
    <t>Kiểm tra cao độ casing trước lúc hạ lồng thép</t>
  </si>
  <si>
    <t>Thời gian từ lúc vét lắng lần 2 đến thời điểm hạ lồng thép</t>
  </si>
  <si>
    <t>Không quá 1 giờ.</t>
  </si>
  <si>
    <t>Kiểm tra chất lượng mối nối lồng thép.</t>
  </si>
  <si>
    <t>Bằng trực quan, thước mét</t>
  </si>
  <si>
    <t>1. Thép chủ: tối thiểu 3 mối buộc (tối thiểu 5 mối buộc)
2. Thép đai vị trí nối lồng: buộc 100% vào thép chủ.
3. Hàn nối lồng: chiều dài mối hàn tối thiểu 5 cm (tối thiểu hàn 03 vị trí/1 đoạn nối)</t>
  </si>
  <si>
    <t>Kiểm tra số lượng đai nối lồng</t>
  </si>
  <si>
    <t>Kiểm tra mối hàn nối ống siêu âm (nếu có)</t>
  </si>
  <si>
    <t>Bơm nước thử kín</t>
  </si>
  <si>
    <t>Độ lệch tâm ống siêu âm tại vị trí nối lồng</t>
  </si>
  <si>
    <t>Không quá 0.5 cm</t>
  </si>
  <si>
    <t>Công tác hạ ống đổ</t>
  </si>
  <si>
    <t>Kiểm tra kích thước, vệ sinh và độ kín nước của ống đổ</t>
  </si>
  <si>
    <t>Đường kính trong ống đổ ≥ 200 mm</t>
  </si>
  <si>
    <t>Kiểm tra tổ hợp ống đổ</t>
  </si>
  <si>
    <t>Số lượng, chiều dài ống</t>
  </si>
  <si>
    <t>Đáy ống đổ cách đáy cọc &lt;= 0,3m</t>
  </si>
  <si>
    <t>Công tác thổi rửa lần 2</t>
  </si>
  <si>
    <t>Kiểm tra nghiệm thu công tác thổi rửa lần 2
(trước khi đổ bê tông)</t>
  </si>
  <si>
    <t>Dùng khí nén thổi đẩy lắng, dùng thước dây không dãn và quả dọi kiểm tra</t>
  </si>
  <si>
    <t>Cốt đảm bảo đáy lắng ≤ 5 cm 
(kiểm tra cốt ống casing; cốt vét lắng cọc, cốt thổi rửa)</t>
  </si>
  <si>
    <t>Kiểm tra dung dịch giữ thành hố khoan trước khi đổ bê tông</t>
  </si>
  <si>
    <t>Kiểm tra dung dịch giữ thành trước khi đổ bê tông</t>
  </si>
  <si>
    <t>Công tác đổ bê tông</t>
  </si>
  <si>
    <t>Độ sụt bê tông</t>
  </si>
  <si>
    <t>Côn rút sụt</t>
  </si>
  <si>
    <t>Độ sụt bê tông được duy trì 3 đến 4h:
 - Cọc D&lt;=1000 duy trì 3h
 - Cọc D&gt;=1200, cọc có cây sinh duy trì 4h</t>
  </si>
  <si>
    <t>Thời gian từ lúc trộn bê tông đến thời điểm đổ</t>
  </si>
  <si>
    <t>&lt;=1,5h</t>
  </si>
  <si>
    <t>TCVN 4453-1995</t>
  </si>
  <si>
    <t>Độ dâng bê tông</t>
  </si>
  <si>
    <t>Thước dây</t>
  </si>
  <si>
    <t>BPTC phê duyệt</t>
  </si>
  <si>
    <t>Chiều dài ống đổ ngậm trong bê tông</t>
  </si>
  <si>
    <t>&gt;= 5,0 m</t>
  </si>
  <si>
    <t xml:space="preserve">Kiểm tra thể tích bê tông thực tế và so với kích thước lỗ cọc theo lý thuyết </t>
  </si>
  <si>
    <t>Không quá 10% so với lý thuyết. (Nếu vượt quá 10% thì phải xem lại biện pháp giữ thành hố khoan)</t>
  </si>
  <si>
    <t>Thông tư 10/2019/TT-BXD</t>
  </si>
  <si>
    <t>Công tác lấp đất đầu cọc</t>
  </si>
  <si>
    <t xml:space="preserve">Kiểm tra chất lượng kingpost: mối hàn, số lượng ecu, bulong, tai </t>
  </si>
  <si>
    <t>Máy siêu âm</t>
  </si>
  <si>
    <t>Kiểm tra độ bằng phẳng bàn dẫn hướng, tim bàn dẫn hướng, tiến hành hạ và cố định bàn dẫn hướng vào casing</t>
  </si>
  <si>
    <t>0.5 cm</t>
  </si>
  <si>
    <t>Kiểm tra phương kingpost theo thiết kế</t>
  </si>
  <si>
    <t>Cao độ kingpost sau khi hạ</t>
  </si>
  <si>
    <t>Máy thủy bình</t>
  </si>
  <si>
    <t>± 1 cm</t>
  </si>
  <si>
    <t>Cố định kingpost vào bàn dẫn hướng</t>
  </si>
  <si>
    <t>Thời gian tiến hành lấp đầu cọc</t>
  </si>
  <si>
    <t>Tối thiểu 24 h sau khi kết thúc đổ bê tông</t>
  </si>
  <si>
    <t>Bơm hút dung dịch khoan trong hố cọc</t>
  </si>
  <si>
    <t>BPTC phê duyệt.</t>
  </si>
  <si>
    <t>Lấp base đến cao độ đỉnh casing</t>
  </si>
  <si>
    <t xml:space="preserve">
Tháo bàn dẫn hướng (đối với cọc có kingpost) và rút nhổ casing, đảm bảo casing được giữ thẳng đứng và đồng trục với cọc trong thời gian nhổ
</t>
  </si>
  <si>
    <t>Trong thời gian bêtông còn độ dẻo và chưa ninh kết</t>
  </si>
  <si>
    <t>Lấp đầu cọc đến cos mặt đất tự nhiên</t>
  </si>
  <si>
    <t>Kiểm tra hiện trạng trước khi đào ( Cao độ, vị trí…)</t>
  </si>
  <si>
    <t>Kiểm tra quá trình đào theo BPTC ( hướng đào, vị trí, taluy, biện pháp an toàn lao động, bơm thoát nước…)</t>
  </si>
  <si>
    <t>Theo biện pháp thi công đào đất được CĐT phê duyệt.</t>
  </si>
  <si>
    <t>TCVN 4447-2012</t>
  </si>
  <si>
    <t>Kiểm tra kích thước hố đào, vị trí.</t>
  </si>
  <si>
    <t>Kiểm tra cao độ và công tác sửa chữa sau khi đào</t>
  </si>
  <si>
    <t>Cao độ sau khi đào</t>
  </si>
  <si>
    <t>Đế móng</t>
  </si>
  <si>
    <t>Tim, trục</t>
  </si>
  <si>
    <t>Toàn bộ chiều dài   ± 20mm</t>
  </si>
  <si>
    <t>Cọc neo vào đài móng (chiều dài thép neo, cao độ cọc ngàm vào đài móng)</t>
  </si>
  <si>
    <t>Đo bằng thước kẹp
Bằng mắt thường</t>
  </si>
  <si>
    <t>Chiều dài thép neo 30d - 40d
Chiều cao cọc ngàm vào đài móng 100mm</t>
  </si>
  <si>
    <t>Chủng loại, đường kính chiều dài, số lượng thép lớp trên, dưới</t>
  </si>
  <si>
    <t>Chủng loại, đường kính chiều dài, số lượng thép dầm</t>
  </si>
  <si>
    <t>Đo bằng thước 
Bằng mắt thường</t>
  </si>
  <si>
    <t>±10mm</t>
  </si>
  <si>
    <t>Chủng loại, đường kính, chiều dài, số lượng thép đai</t>
  </si>
  <si>
    <t>Khoảng cách 
± 10mm</t>
  </si>
  <si>
    <t>Chủng loại, đường kính, chiều dài, số lượng thép chống phình</t>
  </si>
  <si>
    <t>Vị trí, chiều dài các mối nối.</t>
  </si>
  <si>
    <t>Chiều dày lớp BT bảo vệ</t>
  </si>
  <si>
    <t xml:space="preserve">Cốt thép chờ cột </t>
  </si>
  <si>
    <t>Đường kính, số lượng, chiều dài, số lượng thép chủ</t>
  </si>
  <si>
    <t>Đường kính, số lượng, chiều dài, số lượng thép đai</t>
  </si>
  <si>
    <t>Mạch ngừng</t>
  </si>
  <si>
    <t>Đục nhám,vệ sinh mạch ngừng</t>
  </si>
  <si>
    <t>Theo biện pháp thi công được CĐT phê duyệt.</t>
  </si>
  <si>
    <t>Phun chất bảo vệ cốt thép chờ</t>
  </si>
  <si>
    <t>Ván khuôn thành, mạch ngừng.</t>
  </si>
  <si>
    <t>Kiểm tra chất lượng ván khuôn trước khi 
gia công lắp đặt.</t>
  </si>
  <si>
    <t>Theo chứng nhận chất lượng của nhà sản xuất.</t>
  </si>
  <si>
    <t>Hệ thống cây chống ván khuôn móng.</t>
  </si>
  <si>
    <t xml:space="preserve">
Đo bằng thước 
Bằng mắt thường</t>
  </si>
  <si>
    <t>Sai số trên 1m 
± 25mm
Sai số trên toàn 
khẩu độ ± 75mm</t>
  </si>
  <si>
    <t>Vị trí ván khuôn</t>
  </si>
  <si>
    <t>Máy toàn đạc
Đo bằng thước 
Bằng mắt thường</t>
  </si>
  <si>
    <t>Sai lệch vị trí
± 15mm</t>
  </si>
  <si>
    <t>Độ chắc chắn ổn định của ván khuôn.</t>
  </si>
  <si>
    <t>Bằng mắt thường, tay dung lắc các tấm ván khuôn.</t>
  </si>
  <si>
    <t>Bề mặt ván khuôn ( Sạch, phẳng, không bám dính)</t>
  </si>
  <si>
    <t xml:space="preserve"> Bằng mắt thường</t>
  </si>
  <si>
    <t xml:space="preserve">Mức độ gồ ghề giữa 
các tấm ván khuôn ± 3 mm. Bề mặt ván khuôn sạch, không dính tạp chất. </t>
  </si>
  <si>
    <t>Độ kín khít ván khuôn</t>
  </si>
  <si>
    <t>Đảm bảo kín khít không mất nước xi măng ± 2 mm</t>
  </si>
  <si>
    <t>Độ thẳng đứng thành ván khuôn</t>
  </si>
  <si>
    <t>Kiểm tra bằng dọi 
Bằng mắt thường</t>
  </si>
  <si>
    <t>Vệ sinh ván khuôn</t>
  </si>
  <si>
    <t xml:space="preserve">
Bằng mắt thường</t>
  </si>
  <si>
    <t>Không còn rác, bùn đất, mùn cưa, chất bẩn khác trên bề mặt ván khuôn.</t>
  </si>
  <si>
    <t>Lắp gioăng cản nước</t>
  </si>
  <si>
    <t>Công tác đổ bê tông móng</t>
  </si>
  <si>
    <t>Công tác vệ sinh bề mặt bê tông lót, cốt thép, ván khuôn móng.</t>
  </si>
  <si>
    <t>Công tác chuẩn bị trước lúc đổ bê tông</t>
  </si>
  <si>
    <t xml:space="preserve">
 Bằng mắt thường</t>
  </si>
  <si>
    <t>Theo biện pháp thi công được CĐT phê duyệt và kế hoạch đổ bê tông.</t>
  </si>
  <si>
    <t>Kiểm tra độ sụt bê tông</t>
  </si>
  <si>
    <t>Theo mác BT thiết kế và BPTC đổ bê tông được phê duyệt.</t>
  </si>
  <si>
    <t>Lấy mẫu thí nghiệm bê tông</t>
  </si>
  <si>
    <t>Lấy 03 mẫu BT hình lập phương kích thước 150x150x150 mm</t>
  </si>
  <si>
    <t>Tưới bám dính trước khi đổ bê tông.</t>
  </si>
  <si>
    <t>Quy trình đổ bê tông (Kỹ thuật đổ, đầm bê tông, mạch ngừng, cao độ…)</t>
  </si>
  <si>
    <t>Bảo dưỡng bê tông ban đầu và làm mặt</t>
  </si>
  <si>
    <t>Bảo dưỡng bê tông tiếp theo</t>
  </si>
  <si>
    <t>Vùng A ( Từ Diễn Châu trở ra Bắc) 
 + Hè 3 ngày đêm
 + Đông 4 ngày đêm
Vùng B ( Phía đông trường sơn và từ Diễn Châu đến Thuận Hải).
 + Khô  4 ngày đêm
 + Mưa 2 ngày đêm
Vùng C ( Tây Nguyên và Nam Bộ)
 + Khô  6 ngày đêm
 + Mưa 1 ngày đêm</t>
  </si>
  <si>
    <t>Bề mặt bê tông</t>
  </si>
  <si>
    <t>Bề mặt nhẵn, đồng đều về màu sắc. Độ gồ ghề bề mặt đo bằng thước 2m không vượt quá 7mm.</t>
  </si>
  <si>
    <t>Công tác lấp đất hố móng</t>
  </si>
  <si>
    <t>Biên bản nghiệm thu các cấu kiện, thiết bị che khuất.</t>
  </si>
  <si>
    <t>Biên bản nghiệm thu công tác defect bề mặt bê tông móng.
Biên bản nghiệm thu
các thiết bị điện nước che khuất.</t>
  </si>
  <si>
    <t>NĐ46/2015NĐ-CP: Về quản lý chất lượng và bảo trì công trình xây dựng.</t>
  </si>
  <si>
    <t>Công tác chuẩn bị trước lúc lấp hố móng</t>
  </si>
  <si>
    <t>BPTC lấp đất móng được CĐT phê duyệt.
Máy móc thi công lấp đất móng được kiểm tra đảm bảo an toàn.</t>
  </si>
  <si>
    <t>Kiểm tra chất lượng đất lấp hố móng.</t>
  </si>
  <si>
    <t>Theo biện pháp thi công lấp đất được CĐT phê duyệt.</t>
  </si>
  <si>
    <t>Vệ sinh mặt bằng hố móng</t>
  </si>
  <si>
    <t>Hố móng được vệ sinh sạch trạc vữa, đất bùn, không đọng nước.</t>
  </si>
  <si>
    <t>Kiểm tra quá trình thi công lấp đất</t>
  </si>
  <si>
    <t xml:space="preserve">
 Bằng mắt thường
 Máy toàn đạc</t>
  </si>
  <si>
    <t>Theo BPTC lấp đất được CĐT phê duyệt.
Lấp và đầm đất theo lớp 0,3m.</t>
  </si>
  <si>
    <t>Kiểm tra quá trình đầm chặt đất</t>
  </si>
  <si>
    <t xml:space="preserve">
 Kết quả thí nghiệm độ chặt K</t>
  </si>
  <si>
    <t>Theo biện pháp thi công lấp đất được CĐT phê duyệt.
+ Đối với đất dính:10% của độ ẩm là tốt nhất.
+ Đối với đất không dính: 20% của độ ẩm là tốt nhất.</t>
  </si>
  <si>
    <t>TCVN 8730-2012</t>
  </si>
  <si>
    <t>Kiểm tra bề mặt nền sau khi lấp</t>
  </si>
  <si>
    <t>Bề mặt nền phẳng đúng cao độ thiết kế quy định</t>
  </si>
  <si>
    <t>Công tác lắp dựng cốt thép cột vách</t>
  </si>
  <si>
    <t>Đục nhám bê tông chân cột, vách</t>
  </si>
  <si>
    <t>Bề mặt bê tông sạch tạp chất, có độ nhám bề mặt để tăng liên kết bê tông cột vách.</t>
  </si>
  <si>
    <t>Vệ sinh cốt thép chờ cột vách.</t>
  </si>
  <si>
    <t>Thép chờ cột vách phải được vệ sinh sạch sẽ tạp chất.</t>
  </si>
  <si>
    <t>Chủng loại, đường kính, chiều dài thép chủ cột, vách.</t>
  </si>
  <si>
    <t>Chủng loại, đường kính, chiều dài thép đai cột, vách.</t>
  </si>
  <si>
    <t>Vị trí, chiều dài mối nối</t>
  </si>
  <si>
    <t xml:space="preserve">
 Bằng mắt thường
 Đo bằng thước</t>
  </si>
  <si>
    <t>Theo thiết kế
Chiều dài nối 40d
Thép vằn nối ≤50% diện tích mặt cắt ngang cốt thép.
Thép trơn nối ≤25% diện tích mặt cắt ngang cốt thép.</t>
  </si>
  <si>
    <t>Vị trí các thanh thép</t>
  </si>
  <si>
    <t xml:space="preserve"> Đo bằng thước</t>
  </si>
  <si>
    <t xml:space="preserve">
 Đo bằng thước</t>
  </si>
  <si>
    <t>Vệ sinh sau khi lắp đặt</t>
  </si>
  <si>
    <t xml:space="preserve">
 Bằng mắt thường
</t>
  </si>
  <si>
    <t>Thép cột vách được vệ sinh sạch tạp chất</t>
  </si>
  <si>
    <t>Công tác GCLD ván khuôn cột vách</t>
  </si>
  <si>
    <t>Kiểm tra chất lượng ván khuôn trước khi gia công lắp đặt.</t>
  </si>
  <si>
    <t>Vị trí, kích thước hình học ván khuôn cột vách.</t>
  </si>
  <si>
    <t>Sai lệch vị trí
± 8mm</t>
  </si>
  <si>
    <t>Mức độ gồ ghề giữa 
các tấm ván khuôn ± 3 mm. Bề mặt ván khuôn sạch, không dính tạp chất.</t>
  </si>
  <si>
    <t>Độ kín khít của ván khuôn</t>
  </si>
  <si>
    <t>Ván khuôn được ghép kín khít đảm bảo không mất nước xi măng khi đổ và đầm bê tông.</t>
  </si>
  <si>
    <t>Độ thẳng đứng của ván khuôn</t>
  </si>
  <si>
    <t xml:space="preserve">
 Bằng mắt thường
 Máy laser</t>
  </si>
  <si>
    <t>Độ chắc chắn của ván khuôn</t>
  </si>
  <si>
    <t>Độ ổn định chắc chắn của cây chống cột, vách.</t>
  </si>
  <si>
    <t>Bằng mắt thường, tay dung lắc các cây chống.</t>
  </si>
  <si>
    <t>Công tác vệ sinh sau khi lắp đặt</t>
  </si>
  <si>
    <t xml:space="preserve">Công tác đổ bê tông cột vách </t>
  </si>
  <si>
    <t>Vệ sinh, tưới bám dính trước khi đổ bê tông.</t>
  </si>
  <si>
    <t>Theo BPTC đổ bê tông cột, vách được CĐT phê duyệt.</t>
  </si>
  <si>
    <t>Quá trình đổ bê tông. ( Kỹ thuật đổ, đầm bê tông)</t>
  </si>
  <si>
    <t xml:space="preserve"> - Cột có chiều cao nhỏ hơn 5m đổ bê tông liên tục.
 - Cột vách cao hơn 5 m chia thành nhiều đợt đổ bê tông, vị trí mạch ngừng phải theo BPTC được duyệt.</t>
  </si>
  <si>
    <t>Cao độ dừng đổ bê tông cột vách.</t>
  </si>
  <si>
    <t xml:space="preserve"> - Ở mặt trên của móng.
 - Ở mặt dưới của xà, dầm ( thường cách đáy dầm 2 cm)</t>
  </si>
  <si>
    <t>Bề mặt bê tông sau khi tháo ván khuôn</t>
  </si>
  <si>
    <t>Bề mặt bê tông phải phẳng nhẵn, góc cạnh, đồng đều về màu sắc.</t>
  </si>
  <si>
    <t>Bảo dưỡng bê tông</t>
  </si>
  <si>
    <t>Công tác GCLD ván khuôn dầm sàn</t>
  </si>
  <si>
    <t>Vị trí, cao độ ván khuôn</t>
  </si>
  <si>
    <t xml:space="preserve">Máy toàn đạc
Đo bằng thước 
</t>
  </si>
  <si>
    <t>Sai lệch vị trí
± 10mm</t>
  </si>
  <si>
    <t>Hệ thống cây chống dầm sàn.</t>
  </si>
  <si>
    <t>Dầm</t>
  </si>
  <si>
    <t xml:space="preserve">Chủng loại , đường kính, chiều dài thép chủ.
</t>
  </si>
  <si>
    <t>Chủng loại , đường kính, chiều dài thép chờ.</t>
  </si>
  <si>
    <t>Chủng loại, đường kính, chiều dài thép đai</t>
  </si>
  <si>
    <t xml:space="preserve">Uốn nắn vệ sinh cốt thép chờ dầm, thép gia cường. </t>
  </si>
  <si>
    <t>Sàn</t>
  </si>
  <si>
    <t xml:space="preserve">Chủng loại , đường kính, chiều dài thép lớp dưới.
</t>
  </si>
  <si>
    <t>Khoảng cách ±10mm</t>
  </si>
  <si>
    <t xml:space="preserve">Chủng loại , đường kính, chiều dài thép lớp trên.
</t>
  </si>
  <si>
    <t xml:space="preserve">Chủng loại , đường kính, chiều dài thép gia cường lỗ mở
</t>
  </si>
  <si>
    <t>Một mét dài ± 5mm</t>
  </si>
  <si>
    <t xml:space="preserve"> Lắp đặt gioăng mạch ngừng sàn</t>
  </si>
  <si>
    <t>Biện pháp TC được CĐT phê duyệt</t>
  </si>
  <si>
    <t>Xử lý mạch ngừng dầm sàn</t>
  </si>
  <si>
    <t>Đục tẩy bê tông mạch ngừng làm sạch, tạo nhám.</t>
  </si>
  <si>
    <t>Uốn nắn vệ sinh cốt thép chờ dầm, sàn</t>
  </si>
  <si>
    <t>Chủng loại, đường kính, chiều dài thép chờ.</t>
  </si>
  <si>
    <t>Theo thiết kế
Vùng chịu kéo 40d
Vùng chịu nén 30d
Thép vằn nối ≤50% diện tích mặt cắt ngang cốt thép.
Thép trơn nối ≤25% diện tích mặt cắt ngang cốt thép.</t>
  </si>
  <si>
    <t>± 3 mm ( a≤15mm)
± 5 mm ( a≥15mm)</t>
  </si>
  <si>
    <t>Lắp đặt lưới mạch ngừng</t>
  </si>
  <si>
    <t xml:space="preserve">Công tác đổ bê tông dầm sàn </t>
  </si>
  <si>
    <t>Vệ sinh tổng thể (đầu cột, vách, cốt thép, ván khuôn dầm sàn)</t>
  </si>
  <si>
    <t>Vệ sinh, tưới bám dính đầu cột, vách trước khi đổ bê tông.</t>
  </si>
  <si>
    <t>Quá trình đổ bê tông. (Kỹ thuật đổ, đầm bê tông)</t>
  </si>
  <si>
    <t xml:space="preserve"> - Hướng đổ song song với dầm phụ thì mạch ngừng thi công bố trí trong khoảng 1/3 đoạn giữa của nhịp dầm.
 - Hướng đổ song song với dầm chính thì mạch ngừng thi công bố trí ở trong hai khoảng giữa của nhịp dầm và sàn ( mỗi khoảng dài 1/4 nhịp)
- Bước di chuyển của đầm dùi không vượt  quá 1,5 bán kính tác dụng của đầm và cắm sâu vào lớp bê tông đã đổ trước 10cm.
- Dấu hiệu nhận biết bê tông đã được đầm kỹ là vữa xi măng nổi lên bề mặt và bọt khí không còn nữa.</t>
  </si>
  <si>
    <t>Làm mặt, cao độ mặt bê tông.</t>
  </si>
  <si>
    <t>Bằng mắt thường
Máy Thủy Bình</t>
  </si>
  <si>
    <t>Bề mặt bê tông hoàn thiện</t>
  </si>
  <si>
    <t xml:space="preserve"> 
 Mức độ gồ ghề của bề mặt bê tông khi ốp thước 2m không vượt quá 7mm.</t>
  </si>
  <si>
    <t xml:space="preserve">Cấp phối vữa xi măng </t>
  </si>
  <si>
    <t>Bằng mắt thường
Lấy mẫu thí nghiệm</t>
  </si>
  <si>
    <t>Kết quả mẫu thí nghiệm</t>
  </si>
  <si>
    <t>Loại gạch được sử dụng cho từng khu vực, vị trí.</t>
  </si>
  <si>
    <t>Bằng mắt thường.
Đo bằng thước.</t>
  </si>
  <si>
    <t>Bản vẽ Shopdrawing
Giấy chứng nhận về quy cách và chất lượng gạch do nhà sản xuất cấp.</t>
  </si>
  <si>
    <t xml:space="preserve">Vị trí tường xây </t>
  </si>
  <si>
    <t xml:space="preserve">             ± 10mm</t>
  </si>
  <si>
    <t>TCVN 4085-2011</t>
  </si>
  <si>
    <t>Nghiệm thu chân cơ căng dây, thả lèo</t>
  </si>
  <si>
    <t xml:space="preserve"> - Khoan cắm thép liên kết tường xây.
 - Lớp hồ dầu tiếp giáp giữa tường và BTCT</t>
  </si>
  <si>
    <t xml:space="preserve">Tường 110: Khoan cấy 01 râu thép phi 8, neo vào BT 10d, nhô ra ngoài tường 30cm. Khoảng cách râu a =500mm.
Tường 220: Khoan cấy 02 râu thép phi 8, neo vào BT 10d, nhô ra ngoài tường 30cm. Khoảng cách râu a = 500mm.
</t>
  </si>
  <si>
    <t>Quy cách xây ( quy định về gạch quay ngang, gạch chèn đỉnh tường, kích thước khối xây…)</t>
  </si>
  <si>
    <t xml:space="preserve"> - Hàng gạch chân cơ xây gạch đặc.
 - Hàng gạch đỉnh tường xây gạch đặc vỉa nghiêng 45-60 độ.
 - Tường biên xây gạch đặc, tường vệ sinh xây gạch đặc 30 cm.
 - Xây tường 220 ba dọc một ngang hoặc 05 dọc 01 ngang.
 - Chiều cao mỗi đợt xây không vượt quá 1,5m.
 </t>
  </si>
  <si>
    <t>Công tác thi công trụ tường, giằng tường, lanh tô.</t>
  </si>
  <si>
    <t>- Lanh tô gác vào đầu tường 250mm</t>
  </si>
  <si>
    <t>Chiều dày độ đặc chắc, vệ sinh mạch vữa.</t>
  </si>
  <si>
    <t>- Mạch vữa đứng trung bình 10mm, mạch vữa ngang 8-15mm, các mạch đứng so le nhau ít nhất là 50mm.</t>
  </si>
  <si>
    <t>Độ ngang bằng, thẳng đứng, mặt phẳng, vuông góc, mạch vữa đặc chắc, thông thủy.</t>
  </si>
  <si>
    <t>Máy laser
Bằng mắt thường.
Đo bằng thước.</t>
  </si>
  <si>
    <t xml:space="preserve"> + Độ ngang bằng ± 10mm
 + Mặt phẳng ốp thước 2m không quá 10mm.</t>
  </si>
  <si>
    <t>Vị trí, kích thước cửa, kích thước lỗ mở.</t>
  </si>
  <si>
    <t>Vệ sinh bảo dưỡng, xử lý khuyết tật và các công việc khác.</t>
  </si>
  <si>
    <t xml:space="preserve">Bằng mắt thường.
</t>
  </si>
  <si>
    <t>Biện pháp TC xây trát được CĐT phê duyệt.</t>
  </si>
  <si>
    <t xml:space="preserve"> Vị trí thi công lanh tô, trụ tường</t>
  </si>
  <si>
    <t>Bằng mắt thường
Đo bằng thước</t>
  </si>
  <si>
    <t xml:space="preserve"> Bản vẽ Shopdrawing phê duyệt</t>
  </si>
  <si>
    <t xml:space="preserve"> Khoan cấy Ramset thép chờ lanh tô, trụ tường ( nếu có</t>
  </si>
  <si>
    <t>Đo bằng thước
Thí nghiệm kiểm tra chống nhổ.</t>
  </si>
  <si>
    <t>TCVN 8163-2009</t>
  </si>
  <si>
    <t>Vị trí, chủng loại đường kính cốt thép lanh tô, trụ tường.</t>
  </si>
  <si>
    <t>Sai số chiều dài thép chủ trên 1m dài:  ± 5mm
Sai số khoảng cách thép chủ, thép đai: ± 10mm</t>
  </si>
  <si>
    <t>Vị trí, kích thước hình học ván khuôn lanh tô, trụ tường.</t>
  </si>
  <si>
    <t xml:space="preserve"> - Bề mặt ván khuôn phẳng nhẵn, độ gồ ghề không quá 3mm.
 - Sai số khoảng cách cây chống: 25mm/ 1md; trên toàn khẩu độ 75mm.
 - Ván khuôn kín khít không mất nước xi măng </t>
  </si>
  <si>
    <t>Vệ sinh cốt thép lanh tô, bổ trụ</t>
  </si>
  <si>
    <t>BPTC lanh tô, bổ trụ phê duyệt.</t>
  </si>
  <si>
    <t xml:space="preserve"> Kiểm tra quá trình đổ bê tông lanh tô bổ trụ.</t>
  </si>
  <si>
    <t xml:space="preserve">
Bằng mắt thường.
Đo bằng thước.
</t>
  </si>
  <si>
    <t xml:space="preserve"> 
 + Đầm bê tông: nước xi măng nổi lên bề mặt và bọt khí không còn nữa.
 + Làm mặt bê tông phẳng nhẵn.</t>
  </si>
  <si>
    <t>TCVN 3118-1993
TCVN 3106-1993</t>
  </si>
  <si>
    <t>Nghiệm thu công tác đổ bê tông lanh tô.</t>
  </si>
  <si>
    <t>Công tác bảo dưỡng bê tông lanh tô</t>
  </si>
  <si>
    <t>Kiểm tra quá trình bảo dưỡng BT.</t>
  </si>
  <si>
    <t>Công tác trát tường</t>
  </si>
  <si>
    <t>Cấp phối vữa trát tường trong</t>
  </si>
  <si>
    <t>Lấy mẫu thí nghiệm</t>
  </si>
  <si>
    <t>Cấp phối vữa trát tường ngoài, trần, cầu thang, má cửa…</t>
  </si>
  <si>
    <t>Tạo nhám đối với trần, cột, vách bê tông.</t>
  </si>
  <si>
    <t xml:space="preserve">
Bằng mắt thường.
</t>
  </si>
  <si>
    <t>Vữa Xi măng cát tỷ lệ 1:1 để khô sau 12h( nhưng không quá 36h)</t>
  </si>
  <si>
    <t>Vệ sinh tạo ẩm bề mặt tường, trần ( trước khi trát)</t>
  </si>
  <si>
    <t>BPTC trát tường dầm trần được phê duyệt</t>
  </si>
  <si>
    <t>Đóng lưới liên kết tại các vị trí tiếp giáp giữa bê tông và tường.</t>
  </si>
  <si>
    <t>Đo bằng thước.</t>
  </si>
  <si>
    <t>BPTC đóng lưới được phê duyệt (Tại vị trí tiếp giáp chờm về mỗi phía tối thiểu là 5 cm)</t>
  </si>
  <si>
    <t xml:space="preserve"> Kiểm tra công tác đắp mốc</t>
  </si>
  <si>
    <t>Trát 02 lớp đối với cấu kiện tường cột, dầm ( các vị trí trát dày quá quy định tuân theo BPTC được phê duyệt)</t>
  </si>
  <si>
    <t>Chiều dày lớp trát từ 8- 20mm.
Trát dày lớn hơn 20mm phải đóng lưới.
Chiều dày mỗi lần trát mỏng nhất 5mm lớn nhất 8mm.</t>
  </si>
  <si>
    <t>Công tác đắp gờ, phào, chỉ</t>
  </si>
  <si>
    <t>Bản vẽ Shopdrawing phê duyệt</t>
  </si>
  <si>
    <t>Kiểm tra chất lượng trát: Gõ bộp, độ phẳng, thẳng, vết nứt, tạp chất, góc cạnh sắc nét, thẩm mỹ… của bề mặt trát.</t>
  </si>
  <si>
    <t>Bằng mắt thường
Thước tầm
Máy laser</t>
  </si>
  <si>
    <t>Bề mặt phẳng nhẵn, không nứt nẻ chân chim, không bị bộp.
- Ốp thước 2m trát trong khe hở không quá 2mm( cả bức tường không quá 10mm).
- Ốp thước 2m trát ngoài khe hở không quá 3mm( cả bức tường không quá 10mm).</t>
  </si>
  <si>
    <t>Kích thước cửa, lỗ mở</t>
  </si>
  <si>
    <t>Máy laser
Đo bằng thước.</t>
  </si>
  <si>
    <t>Sai số cho phép +5mm</t>
  </si>
  <si>
    <t>Công tác sửa chữa khuyết tật (nếu có), vệ sinh
 và bảo dưỡng</t>
  </si>
  <si>
    <t xml:space="preserve"> Sau khi trát xong 6h bảo dưỡng 03 ngày.</t>
  </si>
  <si>
    <t>Công tác chống thấm nền vệ sinh</t>
  </si>
  <si>
    <t>Kiểm tra chất lượng các loại vật liệu chống thấm.</t>
  </si>
  <si>
    <t>TCVN 367-2006</t>
  </si>
  <si>
    <t>Kiểm tra bề mặt vệ sinh nền: Đục tẩy tạp chất, trám trít vị trí khuyết tật.</t>
  </si>
  <si>
    <t xml:space="preserve"> - Đục sạch tạp chất trên bề mặt nền.
 - Các ty thép dùng đục, máy cắt, gió đá cắt sâu so với bề mặt bê tông 2 cm.
 - Các vị trí vết nứt rạn bê tông cắt rộng 1-2 cm, sâu 2 cm.
 </t>
  </si>
  <si>
    <t>Cố định vị trí ống MEP xuyên sàn.</t>
  </si>
  <si>
    <t>Biên bản nghiệm thu định vị và cố định ống MEP xuyên sàn.</t>
  </si>
  <si>
    <t>Đục tẩy vệ sinh cổ ống, ghép ván khuôn, quấn băng trương nở, tưới bám dính đổ bù sika hoặc vật liệu khác theo BPTC được duyệt.</t>
  </si>
  <si>
    <t xml:space="preserve"> - Đục vát 60 độ bê tông quanh cổ ống.</t>
  </si>
  <si>
    <t>Quyét chống thấm</t>
  </si>
  <si>
    <t>Bằng mắt thường.
Định mức theo quy định của loại vật liệu chống thấm phê duyệt.</t>
  </si>
  <si>
    <t>Quét 02 lớp chống thấm, lớp thứ 2 vuông góc với lớp thứ nhất, quét vén lên chân tường 30cm, đảm bảo vật liệu phủ kín bề mặt nền chống thấm.</t>
  </si>
  <si>
    <t xml:space="preserve"> Ngâm nước kiểm tra thấm nền.</t>
  </si>
  <si>
    <t>Bơm ngâm nước tối thiểu 24h để kiểm tra xác nhận công tác chống thấm hoàn tất.</t>
  </si>
  <si>
    <t>Nghiệm thu công tác chống thấm.</t>
  </si>
  <si>
    <t xml:space="preserve"> - Chứng chỉ vật liệu và kết quả thí nghiệm vật liệu đầu vào.
 - Biên bản nghiệm thu vật liệu chống thấm.
 - Bản vẽ Shopdrawing
 - Checklist kiểm tra quá trình thi công.</t>
  </si>
  <si>
    <t xml:space="preserve">  - Sau 2-3 ngày ngâm nước, kiểm tra toàn bộ bề mặt nền chống thấm nếu không có nước rò rỉ hoặc ẩm ướt thì xác nhận công tác chống thấm hoàn thành.</t>
  </si>
  <si>
    <t>Công tác Láng nền</t>
  </si>
  <si>
    <t xml:space="preserve"> Kiểm tra cấp phối vữa lát nền</t>
  </si>
  <si>
    <t xml:space="preserve">
Kết quả mẫu thí nghiệm
</t>
  </si>
  <si>
    <t>Kiểm tra vệ sinh, tạo nhám bề mặt; xử lý 
khuyết tật bề mặt nền…</t>
  </si>
  <si>
    <t xml:space="preserve">
Bằng mắt thường.
</t>
  </si>
  <si>
    <t>BPTC láng nền được phê duyệt.</t>
  </si>
  <si>
    <t>Kiểm tra đắp mốc (khoảng cách, cao độ 
mốc…)</t>
  </si>
  <si>
    <t xml:space="preserve">
Bằng mắt thường.
Đo bằng thước
</t>
  </si>
  <si>
    <t>TCVN 9377-2012</t>
  </si>
  <si>
    <t>Kiểm tra tưới hồ dầu trước khi láng</t>
  </si>
  <si>
    <t>Kiểm tra tình trạng chất lượng vữa trong quá trình thi công</t>
  </si>
  <si>
    <t>Công tác bảo dưỡng lớp cán nền</t>
  </si>
  <si>
    <t xml:space="preserve"> - Sau 12h tiến hành tưới nước bảo dưỡng bề mặt trong vòng 05 ngày.</t>
  </si>
  <si>
    <t>Kiểm tra chất lượng sau khi cán:
- Kiểm tra cao độ, độ phẳng (lỗi/lõm), độ dốc..
- Kiểm tra gõ ộp, độ đặc chắc, bề mặt</t>
  </si>
  <si>
    <t>Thước tầm, bi gõ ộp</t>
  </si>
  <si>
    <t>Công tác sửa chữa khuyết tật và vệ sinh</t>
  </si>
  <si>
    <t>Công tác ốp gạch</t>
  </si>
  <si>
    <t>Kiểm tra chủng loại, chất lượng, vật liệu gạch ốp ( Xi măng, keo, cấp phối vữa…)</t>
  </si>
  <si>
    <t>Bằng mắt thường
Chứng nhận chất lượng
Phiếu xuất kho.</t>
  </si>
  <si>
    <t>Kiểm tra theo mẫu gạch được phê duyệt</t>
  </si>
  <si>
    <t xml:space="preserve">
 - Bề mặt tường, trát lót đã được nghiệm thu và vệ sinh.
 - Kiểm tra chia ô lưới và vị trí viên gạch mốc ốp đầu tiên.
 - Tạo ẩm liên kết bề mặt tường với gạch.
 - Ngâm nước gạch trước khi ốp.
</t>
  </si>
  <si>
    <t xml:space="preserve">Biên bản nghiệm thu tường, trát lót, thiết bị lắp đặt âm tường.
Bản vẽ Shopdrawing được phê duyệt.
</t>
  </si>
  <si>
    <t xml:space="preserve">Kiểm tra quá trình ốp tường
</t>
  </si>
  <si>
    <t xml:space="preserve">
Bằng mắt thường.
Thước tầm dài 2,5m.
Thước ni vô
 Máy laser
</t>
  </si>
  <si>
    <t xml:space="preserve">  - Dùng bay răng cưa để trải keo, hồ dầu lên bề mặt tường, gạch.
- Dùng búa cao su để gõ tăng liên kết giữa gạch với tường.
- Dùng thước ni vô kiểm tra độ phẳng mặt ốp.
 - Lắp ke nhựa tại các vị trí góc viên gạch ốp.</t>
  </si>
  <si>
    <t>Kiểm tra mạch: Kiểm tra sai lệch theo 
phương đứng, phương ngang, sắc nét, đồng 
đều.</t>
  </si>
  <si>
    <t>Kiểm tra độ thẳng góc hàng gạch ốp chân tường.</t>
  </si>
  <si>
    <t>Ke góc vuông</t>
  </si>
  <si>
    <t xml:space="preserve"> BPTC ốp gạch được phê duyệt</t>
  </si>
  <si>
    <t xml:space="preserve"> Kiểm tra mạch gạch vị trí giao tường ốp với 
gạch lát nền vệ sinh vát nghiêng 45 độ, thẳng đều sắc nét.</t>
  </si>
  <si>
    <t xml:space="preserve"> Biện pháp thi công ốp gạch</t>
  </si>
  <si>
    <t>Kiểm tra mặt phẳng ốp, cao độ dừng ốp</t>
  </si>
  <si>
    <t>Thước tầm, Máy laser</t>
  </si>
  <si>
    <t>Kiểm tra bằng thước dài 2m đặt áp sát vào mặt ốp không quá 2mm.
Độ không bằng phẳng theo hai phương : 2mm</t>
  </si>
  <si>
    <t xml:space="preserve"> - Kiểm tra liên kết giữa gạch và tường, kiểm tra bộp</t>
  </si>
  <si>
    <t xml:space="preserve"> Gõ lên bề mặt ốp không có tiếng bộp.</t>
  </si>
  <si>
    <t>Nghiệm thu công tác ốp tường</t>
  </si>
  <si>
    <t xml:space="preserve"> Chứng chỉ xuất xứ và các kết quả thí nghiệm vật liệu.
Biên bản nghiệm thu vật liệu ốp.
Bản vẽ Shopdrawing, bản vẽ thiết kế.</t>
  </si>
  <si>
    <t xml:space="preserve"> - Sai số cho phép: 
 + Độ phẳng ốp thước 2m không quá 2mm.
 + Độ phẳng mặt đứng trên một tầng nhà: 4mm
 + Độ phẳng theo phương 
ngang của mặt ốp là: 3mm</t>
  </si>
  <si>
    <t>Công tác lát gạch</t>
  </si>
  <si>
    <t>Kiểm tra chất lượng, độ đồng nhất về màu sắc gạch, vật liệu gạch lát ( Xi măng, keo, cấp phối vữa…)</t>
  </si>
  <si>
    <t xml:space="preserve">
 - Bề mặt sàn đã nghiệm thu công tác defect bê tông và vệ sinh. 
 - Kiểm tra chia ô lưới và vị trí viên gạch mốc lát đầu tiên.
 - Tạo ẩm liên kết bề mặt sàn với gạch.
 - Ngâm nước gạch trước khi lát.
</t>
  </si>
  <si>
    <t xml:space="preserve">Biên bản nghiệm thu công tác defect bề mặt bê tông sàn, các vị trí lỗ chờ MEP xuyên sàn.
Bề mặt lớp láng nền đã được nghiệm thu đảm bảo độ phẳng, bám dính tốt, không bị bong bộp và làm sạch tạp chất.
Bản vẽ Shopdrawing được phê duyệt.
</t>
  </si>
  <si>
    <t xml:space="preserve">Kiểm tra quá trình lát gạch
</t>
  </si>
  <si>
    <t xml:space="preserve">
Bằng mắt thường.
Thước tầm dài 3m.
Thước ni vô
 Máy laser
</t>
  </si>
  <si>
    <t xml:space="preserve"> - Dùng bay răng cưa để trải keo, hồ dầu lên bề mặt vữa láng và gạch.
- Dùng búa cao su để gõ tăng liên kết giữa gạch với lớp vữa láng.
- Dùng thước tầm, ni vô kiểm tra độ phẳng mặt lát.
 - Lắp ke nhựa tại các vị trí góc viên gạch lát làm cữ, để tăng độ đồng đều của mạch gạch.</t>
  </si>
  <si>
    <t>Kiểm tra chiều rộng mạch, độ đồng đều, sắc nét của mạch.</t>
  </si>
  <si>
    <t xml:space="preserve"> BPTC lát gạch được phê duyệt</t>
  </si>
  <si>
    <t>Kiểm tra mặt phẳng lát, cao độ lát gạch.</t>
  </si>
  <si>
    <t>Kiểm tra bằng thước dài 3m đặt áp sát vào mặt ốp không quá 3mm.
Sai số cao độ : 10 mm</t>
  </si>
  <si>
    <t xml:space="preserve"> - Kiểm tra liên kết giữa gạch lát và sàn, kiểm tra bộp</t>
  </si>
  <si>
    <t xml:space="preserve"> Gõ lên bề mặt lát không có tiếng bộp.</t>
  </si>
  <si>
    <t>Nghiệm thu công tác lát nền</t>
  </si>
  <si>
    <t xml:space="preserve"> 
- Sai số cho phép: 
 + Độ phẳng ốp thước 3m không quá 3mm.
 + Sai số cao độ: 10mm
 + Độ dốc cho phép: 0,3%</t>
  </si>
  <si>
    <t>Công tác lát đá</t>
  </si>
  <si>
    <t>Kiểm tra chủng loại, kích thước, chất lượng, màu sắc, hoa văn đá so với thiết kế, vật tư phụ.</t>
  </si>
  <si>
    <t>Bằng mắt thường
Chứng chỉ CO/CQ
Thí nghiệm vật liệu
Phiếu xuất kho Packing list.</t>
  </si>
  <si>
    <t>TCVN 4732-2007</t>
  </si>
  <si>
    <t xml:space="preserve"> - Kiểm tra trát lót ( đối với tam cấp)
 - Kiểm tra mực, cao độ nền và xác định đường mạch đá trên nền, vị trí viên mốc theo bản vẽ đã được trình duyệt.
 - Vệ sinh bề mắt.
</t>
  </si>
  <si>
    <t xml:space="preserve">Kiểm tra hoàn thiện công tác lát đá:
 - Bề mặt, hình dạng, kích thước, khuyết tật, đồng đều về màu sắc, vân.
 - Joint/ mạch: sắc nét, đồng đều.
 - Cao độ viên đá, độ đặc/ chắc của lớp keo ( gõ bộp)
</t>
  </si>
  <si>
    <t>Thước tầm
Máy laser
Bằng mắt thường.</t>
  </si>
  <si>
    <t xml:space="preserve"> - Sửa chữa khuyết tật và vệ sinh
</t>
  </si>
  <si>
    <t>Biện pháp thi công được phê duyệt.</t>
  </si>
  <si>
    <t>Công tác treo đá</t>
  </si>
  <si>
    <t>Bằng mắt thường
Chứng chỉ CO/CQ
Thí nghiệm vật liệu
Phiếu xuất kho.</t>
  </si>
  <si>
    <t xml:space="preserve"> - Đá phải được quét chống thấm 6 mặt trước khi treo lên tường.</t>
  </si>
  <si>
    <t>BPTC treo đá được phê duyệt.</t>
  </si>
  <si>
    <t xml:space="preserve">
- Kiểm tra sàn thao tác thi công treo đá.
- Kiểm tra ô lưới trắc đạc thi công treo đá, vị trí viên mốc theo bản vẽ đã được trình duyệt.
 - Vệ sinh bề mặt tường.
</t>
  </si>
  <si>
    <t xml:space="preserve">Biên bản nghiệm thu công tác defect cột vách, tường xây, các thiết bị che khuất.
Biên bản nghiệm thu vật liệu đầu vào đá, ty treo, bát sắt, keo hai thành phần.
Bản vẽ Shopdrawing được phê duyệt.
</t>
  </si>
  <si>
    <t xml:space="preserve"> - Kiểm tra quá trình treo đá</t>
  </si>
  <si>
    <t xml:space="preserve">Kiểm tra hoàn thiện công tác treo đá ngoài nhà:
 - Bề mặt, hình dạng, kích thước, khuyết tật, đồng đều về màu sắc, vân.
 - Joint/ mạch: sắc nét, đồng đều.
 - Độ thẳng đứng, chắc chắn của bức tường treo đá.
</t>
  </si>
  <si>
    <t>TCVN 5593-2012</t>
  </si>
  <si>
    <t xml:space="preserve">Kiểm tra hoàn thiện công tác treo đá trong nhà:
 - Bề mặt, hình dạng, kích thước, khuyết tật, đồng đều về màu sắc, vân.
 - Joint/ mạch: sắc nét, đồng đều.
 - Độ thẳng đứng, chắc chắn của bức tường treo đá.
</t>
  </si>
  <si>
    <t>Kiểm tra chủng loại, vật liệu bả.</t>
  </si>
  <si>
    <t>TCVN 7239-2014</t>
  </si>
  <si>
    <t>Kiểm tra nghiệm thu bề mặt tường trước khi bả: Vệ sinh bề mặt, độ ẩm, tạo phẳng bề mặt ( đá mài, giấy giáp).</t>
  </si>
  <si>
    <t>Bằng mắt thường
Máy đo độ ẩm</t>
  </si>
  <si>
    <t>Kiểm tra lớp bả 1</t>
  </si>
  <si>
    <t xml:space="preserve"> - Định mức 0,4 kg/m2
 - Sạch, phẳng.</t>
  </si>
  <si>
    <t>ĐMXD 1776</t>
  </si>
  <si>
    <t>Kiểm tra lớp bả 2</t>
  </si>
  <si>
    <t xml:space="preserve"> - Định mức 0,4 kg/m2
 - Chiều dày lớp bột bả: ≤  3mm
 - Sạch, phẳng</t>
  </si>
  <si>
    <t>Kiểm tra chất lượng bề mặt tường sau khi xả bả.</t>
  </si>
  <si>
    <t xml:space="preserve"> - Lớp bả dính chắc, không bị bong rộp.
 - Mặt bả phẳng nhẵn, gờ cạnh thẳng, sắc nét.
 - Bề mặt tường sạch bụi bả sau khi xả.</t>
  </si>
  <si>
    <t>Công tác Sơn</t>
  </si>
  <si>
    <t>Kiểm tra chủng loại, vật liệu sơn</t>
  </si>
  <si>
    <t>Kiểm tra quá trình sơn lót</t>
  </si>
  <si>
    <t xml:space="preserve">Bằng mắt thường
</t>
  </si>
  <si>
    <t>Độ phủ bề mặt: 0,125 kg/m2/ 1lớp.
Khô hoàn toàn: 3h</t>
  </si>
  <si>
    <t>TCVN 8652-2012
ĐMXD 1776</t>
  </si>
  <si>
    <t>Nghiệm thu sơn lót tường.</t>
  </si>
  <si>
    <t xml:space="preserve"> BPTC sơn tường phê duyệt.
 Độ thấm nước: ≤ 8ml/m2</t>
  </si>
  <si>
    <t>TCVN 8652-2012</t>
  </si>
  <si>
    <t>Kiểm tra quá trình sơn hoàn thiện</t>
  </si>
  <si>
    <t>TCVN 2095-1993
TCVN 8652-2012</t>
  </si>
  <si>
    <t>Nghiệm thu công tác sơn hoàn thiện</t>
  </si>
  <si>
    <t xml:space="preserve"> BPTC sơn tường phê duyệt.
 Shop drawing công tác sơn.
Màu sắc sơn đồng đều phẳng nhẵn, góc cạnh sắc nét.</t>
  </si>
  <si>
    <t xml:space="preserve"> </t>
  </si>
  <si>
    <t>Công tác Trần thạch cao</t>
  </si>
  <si>
    <t>Kiểm tra nghiệm thu vật tư vật liệu đầu vào trước khi đưa vào sử dụng</t>
  </si>
  <si>
    <t xml:space="preserve">Kết quả mẫu thí nghiệm
Chứng chỉ chất lượng.
Phiếu xuất kho của nhà máy.
</t>
  </si>
  <si>
    <t>TCVN 8257-2009</t>
  </si>
  <si>
    <t>Kiểm tra lắp dựng ty ren, các thanh gia cố/gia cường (khoảng cách, liên kết, độ thẳng, thử tải…) và thanh V viền tường (bao gồm cả ty treo đèn chùm, tấm MDF gia cố hộp rèm…)</t>
  </si>
  <si>
    <t>Bằng mắt thường
Bằng thước đo
Bằng máy laser</t>
  </si>
  <si>
    <t>Kiểm tra các điều kiện  trước khi thi công: Trần, tường, vị trí M&amp;E; (Biên bản bàn giao mặt bằng giữa M&amp;E và XD)</t>
  </si>
  <si>
    <t xml:space="preserve"> - Biên bản nghiệm, bàn giao thu hệ thống kỹ thuật MEP âm trần.
</t>
  </si>
  <si>
    <t>Kiểm tra lắp dựng hệ xương trần:
 - Kiểm tra liên kết: Xương chính với ty ren; Xương phụ với xương chính; Chi tiết gia cường lỗ mở M&amp;E hoặc lỗ thăm trần; Các thanh gia cường/tăng cứng (nếu có).
 - Kiểm tra khoảng cách, cao độ của hệ, vị trí lỗ mở, độ ổn định... của hệ xương.</t>
  </si>
  <si>
    <t>Kiểm tra lắp dựng tấm trần:
- Liên kết: Khoảng cách vít liên kết tấm và xương trần, độ chắc chắn.
- Bề mặt tấm: Kiểm tra khe hở giữa các tấm - nẹp; Cao độ; bề mặt, độ thẳng/phẳng...
- Mối nối: Kiểm tra khe hở, lưới chống nứt và bột chuyên dụng...</t>
  </si>
  <si>
    <t xml:space="preserve"> BPTC trần thạch cao được phê duyệt</t>
  </si>
  <si>
    <t>Công tác lát sàn gỗ công nghiệp</t>
  </si>
  <si>
    <t>Kiểm tra vật liệu: Tấm gỗ, lót nền, nẹp chân tường, keo,….</t>
  </si>
  <si>
    <t xml:space="preserve"> - Chứng chỉ chất lượng.
 - Phiếu xuất kho.
 - Hình thức, nhãn mác sản phẩm</t>
  </si>
  <si>
    <t xml:space="preserve"> - Theo tiêu chuẩn của nhà sản xuất.</t>
  </si>
  <si>
    <t>Kiểm tra bề mặt nền trước khi thi công (vệ sinh, cao độ…)</t>
  </si>
  <si>
    <t xml:space="preserve"> - Bề mặt nền khô, sạch, phẳng.
 - Nền đủ 28 ngày mới lát.</t>
  </si>
  <si>
    <t>TCVN 7955-2008</t>
  </si>
  <si>
    <t>Kiểm tra công tác lớp lót sàn</t>
  </si>
  <si>
    <t xml:space="preserve"> Tấm trải ni lông chống ẩm: ≤ 1mm.
 Tấm trải dày &lt; 0,3 mm thì trải chờm lên nhau 10mm.
Tấm trải ≥ 0,3 mm nối bằng băng dính chuyên dùng.
</t>
  </si>
  <si>
    <t>Kiểm tra công tác liên kết giữa các tấm sàn, lắp đặt tấm, phào chân tường</t>
  </si>
  <si>
    <t xml:space="preserve"> - Lắp đặt từ góc phòng ra ngoài.
 - Tấm gỗ được ghép so le nhau.
 - Khoảng cách tối thiểu giữa sàn và mép tường là 10mm
 </t>
  </si>
  <si>
    <t>Kiểm tra bề mặt hoàn thiện sàn gỗ, len chân tường, nẹp, inox...
- Bề mặt: Phẳng, khít,chắc chắn, không trầy xước..
- Xử lý silicon tại các vị trí tiếp giáp với tường, khung cửa…</t>
  </si>
  <si>
    <t>Bằng mắt thường
Bằng máy laser
Đo bằng thước</t>
  </si>
  <si>
    <t xml:space="preserve"> Dung sai cho phép về chiều cao tối đa giữa mép và đầu nối của hai thanh ván sàn liền kề là 0,1mm
Khe hở trên mặt sàn tối đa cho phép 0,5mm</t>
  </si>
  <si>
    <t>Công tác sửa chữa khuyết tật và bảo quản bề mặt.</t>
  </si>
  <si>
    <t>BPTC lắp đặt sàn gỗ được phê duyệt.</t>
  </si>
  <si>
    <t>Công tác lắp đặt xà gồ mái tôn</t>
  </si>
  <si>
    <t xml:space="preserve">
- Kiểm tra vật liệu đầu vào (vật tư chính và vật tư phụ)
</t>
  </si>
  <si>
    <t>Chứng chỉ CO, CQ của vật liệu.
Kết quả thí nghiệm đạt: Thép tấm, thép hình, bulong, đường hàn…</t>
  </si>
  <si>
    <t>Kiểm tra lắp dựng các vị trí bulong neo: Chi tiết liên kết; Vị trí; Số lượng bulong/cụm bulong; Cao độ; sai số…</t>
  </si>
  <si>
    <t>Máy toàn đạc
Đo bằng thước
Bằng mắt thường</t>
  </si>
  <si>
    <t xml:space="preserve"> Sai lệch về đường kính lỗ bu lông cường độ cao:
 - ĐK lớn hơn 12-18 : +0,24mm ( phía trên); 0 ( phía dưới).
- ĐK lớn hơn 18-30 : +0,28mm ( phía trên); 0 ( phía dưới).
- ĐK lớn hơn 18-30 : +0,34mm ( phía trên); 0 ( phía dưới).</t>
  </si>
  <si>
    <t>Kiểm tra điều kiện trước khi lắp dựng KCT: Chi tiết liêt kết các bulong/cụm bulong neo với kết cấu đảm bảo cường độ.</t>
  </si>
  <si>
    <t xml:space="preserve">  - Máy laser
 - Thước thép
 - Ca lê lực</t>
  </si>
  <si>
    <t xml:space="preserve">  - Kiểm tra kích thước hình học KCT.
 - Tất cả bu lông phải được kiểm tra lực siết 100% bằng cờ lê lực.
</t>
  </si>
  <si>
    <t>Kiểm tra lắp dựng Cột, dầm, vách, giằng: Lực xiết (lưu ý quay video xiết bulong bằng cà lê lực theo quy định), độ thẳng đứng, vuông góc, chi tiết liên kết đầy đủ, sika chân cột…</t>
  </si>
  <si>
    <t xml:space="preserve">
 - Máy toàn đạc
 - Thước thép
 - Cà lê lực</t>
  </si>
  <si>
    <t xml:space="preserve"> - Bê tông đảm bảo cường độ ≥ 70%.
 - Sai số cao độ mặt phẳng, độ nghiêng chân cột không vượt quá: ± 2mm
 - Sai số theo phương đứng không quá 3mm/1m dài và không được vượt quá H/300 đối với cột độc lập, H/500 đối với dầm đỡ dầm cầu trục ( H là chiều cao cột)</t>
  </si>
  <si>
    <t>Kiểm tra lắp dựng vì kèo, giằng, xà gồ mái: Vị trí, khoảng cách, liên kết, độ phẳng, độ dốc, và các chi tiết khác…</t>
  </si>
  <si>
    <t xml:space="preserve"> 
 - Máy laser
 - Thước thép
 - Ca lê lực</t>
  </si>
  <si>
    <t>Kiểm tra lắp dựng tôn : Chi tiết liên kết; vị trí, số lượng vít, quy cách nối tấm; Đệm cao su; Máng thu nước…</t>
  </si>
  <si>
    <t xml:space="preserve"> 
 - Thước thép
 - Bằng mắt thường.</t>
  </si>
  <si>
    <t>Kiểm tra tổng thể, sơn hoàn thiện và vệ sinh tổng thể</t>
  </si>
  <si>
    <t>TCVN 8053-2009</t>
  </si>
  <si>
    <t>Công tác lắp đặt xà gồ mái Ngói</t>
  </si>
  <si>
    <t xml:space="preserve">
- Vật liệu đầu vào: Cầu Phong, Lito, kẹp ngói, tôn...
</t>
  </si>
  <si>
    <t xml:space="preserve">Chứng chỉ vật liệu CO, CQ.
Kết quả thí nghiệm vật liệu đầu vào.
</t>
  </si>
  <si>
    <t>Kiểm tra liên kết cầu phong và kết cấu bê tông mái:
- Liên kết hàn: Kiểm tra chiều sâu khoan cấy thép mồi; mối hàn, vệ sinh, sơn chống gỉ…
- Liên kết bu lông nở sắt (tắc kê): Kiểm tra chiều sâu, vị trí vít nở và bản mã, độ chắc chắn.</t>
  </si>
  <si>
    <t xml:space="preserve"> - Đo bằng thước.
 - Bằng mắt thường.</t>
  </si>
  <si>
    <t>Kiểm tra liên kết lito với Cầu phong và các chi tiết máng (mối hàn, vít, sơn chống gỉ, cao độ, độ dốc…)</t>
  </si>
  <si>
    <t xml:space="preserve"> - Bằng mắt thường.
 - Đo bằng thước</t>
  </si>
  <si>
    <t xml:space="preserve"> - BPTC lợp ngói được phê duyệt.
 - Theo Catalog hướng dẫn của nhà sản xuất.
 </t>
  </si>
  <si>
    <t>Kiểm tra quá trình lắp dựng ngói (liên kết ngói với hệ cầu phong lito; độ dốc; chi tiết máng, điểm tiếp giáp với tường..)</t>
  </si>
  <si>
    <t>Kiểm tra thi công ngói nóc, ngói cuối nóc, ngói rìa, ngói cuối rìa.</t>
  </si>
  <si>
    <t>Kiểm tra tổng thể bề mặt ngói sau hoàn thiện.</t>
  </si>
  <si>
    <t xml:space="preserve"> Bằng mắt thường
 Đo bằng thước</t>
  </si>
  <si>
    <t>TCVN 5593 -2012</t>
  </si>
  <si>
    <t>Công tác lắp dựng khung nhôm</t>
  </si>
  <si>
    <t xml:space="preserve">
- Vật liệu đầu vào: Khung, cảnh cửa, keo, vật tư phụ…
</t>
  </si>
  <si>
    <t xml:space="preserve">Chứng chỉ CO, CQ
Chứng nhận hợp quy
Thí nghiệm vật liệu
Phiếu giao nhận hàng hóa.
</t>
  </si>
  <si>
    <t>Kiểm tra liên kết khung cửa đi, cửa sổ và tường: Số lượng, chủng loại, khoảng cách sử dụng Vít liên kết…</t>
  </si>
  <si>
    <t>Bằng mắt thường
Thước tầm
Máy laser
Thước ni vô</t>
  </si>
  <si>
    <t>TCVN 9366-2012</t>
  </si>
  <si>
    <t>Kiểm tra liên kết khung vách kính ngoài nhà và tường: Số lượng, chủng loại, khoảng cách sử dụng Vít liên kết…</t>
  </si>
  <si>
    <t>Kiểm tra liên kết khung vách kính trong nhà và tường: Số lượng, chủng loại, khoảng cách sử dụng Vít liên kết…</t>
  </si>
  <si>
    <t xml:space="preserve"> 
 - Thi công lắp khung nhôm:
 + Sai số cạnh đứng hai bên không quá 3mm.
 + Cạnh ngang trên và dưới không quá 3mm.</t>
  </si>
  <si>
    <t>Kiểm tra lắp dựng cánh cửa với khung: 
- Độ kín khít, chắc chắn, thẳng đứng, vuông góc
- Số lượng bản lề
- Bảo quản khung, cánh cửa</t>
  </si>
  <si>
    <t xml:space="preserve"> - Lắp cánh cửa vào khung đảm bảo kín khít, đóng mở dễ dàng.
 - Lắp khóa, tay nắm, phụ kiện đảm bảo chắc chắn theo đúng yêu cầu kỹ thuật.</t>
  </si>
  <si>
    <t>Công tác lắp kính</t>
  </si>
  <si>
    <t>Kiểm tra độ hở giữa kính và khuôn (độ kín khít, nêm, đệm giữ kính, gioăng)</t>
  </si>
  <si>
    <t xml:space="preserve">BPTC lắp dựng cửa khung nhôm kính phê duyệt.
</t>
  </si>
  <si>
    <t>Thử độ kín nước</t>
  </si>
  <si>
    <t xml:space="preserve"> - Thử độ kín nước: Không xuất hiện vệt thấm nước trên mặt trong của cửa với áp lực thử nghiệm ≥ 150 Pa.
</t>
  </si>
  <si>
    <t>Kiểm tra mặt kính sau lắp đặt và các phụ kiện (khóa cửa..)</t>
  </si>
  <si>
    <t xml:space="preserve"> - Có in logo đối với kính cường lực và bán cường lực, logo được in vị trí góc dưới dễ nhìn nhận thấy để kiểm tra
- Đối với kính dán nhiều lớp:
Diện tích kính ≤  5m2 vết trầy xước ≤  30mm
5m2 &lt; Diện tích kính  ≤  8m2 tối đa 1 vết xước ≥ 30mm
Diện tích kính  &gt; 8m2 tối đa 2 vết xước ≥ 30mm
- Đối với kính màu hấp thụ nhiệt: không cho phép nhìn thấy vết trầy xước
- Đối với kính phản quang nhiệt : chiều dài vết xước ≤ 100mm
Tối đa 4 vết trầy xước có chiều rộng: ≥ 0,1mm và ≤ 0,3mm
Tối đa 1vết trầy xước có chiều rộng: ≥ 0,3mm và ≤ 0,4mm
</t>
  </si>
  <si>
    <t>TCVN 7362-2014
TCVN 7529-2005</t>
  </si>
  <si>
    <t>Công tác lắp cửa gỗ.</t>
  </si>
  <si>
    <t xml:space="preserve">
- Vật liệu đầu vào: Khung, cánh cửa, keo, vật tư phụ…
</t>
  </si>
  <si>
    <t xml:space="preserve">Chứng chỉ vật liệu
Kết quả thí nghiệm vật liệu đầu vào
Nguồn gốc xuất xứ gỗ.
</t>
  </si>
  <si>
    <t xml:space="preserve">Độ ẩm gỗ không quá 18%
Mắt sống mầu xẫm và sáng, số mắt chi tiết, không lớn hơn.
 +Mắt có ĐK nhỏ hơn 20mm: 02 mắt ( mặt ngoài); 03 mặt ( mặt trong).
 + Mắt có ĐK từ 20-30mm: 02 mắt ( mặt trong)
Độ cong các tấm ván không lớn hơn 2mm/m.
</t>
  </si>
  <si>
    <t>TCVN 5373-1991</t>
  </si>
  <si>
    <t>Kiểm tra liên kết khung cửa và tường: Số lượng, chủng loại, khoảng cách, vị trí sử dụng Vít liên kết…</t>
  </si>
  <si>
    <t>Bằng mắt thường.
Đo bằng thước</t>
  </si>
  <si>
    <t>Kiểm tra công tác chèn khe hở giữa khuôn và nẹp cửa.
Kiểm tra công tác đóng nẹp cửa.</t>
  </si>
  <si>
    <t xml:space="preserve"> - Khe hở giữa khuôn cửa và tường được bơm foam chống cháy chèn kín.
 - Vị trí góc giao nẹp cửa theo phương ngang và đứng cắt góc 45 độ.
</t>
  </si>
  <si>
    <t>Kiểm tra lắp dựng cánh cửa với khung.
Kiểm tra công tác lắp đặt bản lề cửa.
Kiểm tra công tác lắp khóa và phụ kiện cửa.</t>
  </si>
  <si>
    <t>Kiểm tra hoàn thiện lắp dựng:
- Kiểm tra khe hở giữa nẹp bao khuôn cửa và tường.
- Lắp đặt phụ kiện, khóa, chốt quan trọng
- Kiểm tra bề mặt cánh và khuôn, độ cong vênh
- Hoạt động sau khi lắp (êm, kín khít…)</t>
  </si>
  <si>
    <t>TCVN 9366-1-2012</t>
  </si>
  <si>
    <t>Sửa chữa khuyết tật và công tác bảo quản cửa sau lắp đặt</t>
  </si>
  <si>
    <t xml:space="preserve"> - Xử lý lỗ đinh.
 - Xử lý các lỗ khoan
 - Dặm vá PU nếu bị bay màu
 - Kiểm tra và Xử lý khe hở lớn giữa nẹp cửa và tường.</t>
  </si>
  <si>
    <t>Công tác lắp cửa chống cháy</t>
  </si>
  <si>
    <t xml:space="preserve">
- Kiểm tra vật liệu (khung, cánh, khóa, tay co, bản lề, vật tư phụ…) 
- Vị trí, cao độ, kích thước ô chờ
- Công tác An toàn lao động, tập kết vật tư…</t>
  </si>
  <si>
    <t xml:space="preserve">
Chứng chỉ vật liệu CO, CQ.
Kết quả thí nghiệm vật liệu đầu vào.
Giấy kiểm định và tem cửa chống cháy.
</t>
  </si>
  <si>
    <t>TCVN 6160 -1996 
QCVN 06 -2010/BXD</t>
  </si>
  <si>
    <t>Kiểm tra chi tiết liên kết khung cửa với tường (vị trí, khoảng cách, chủng loại vít)</t>
  </si>
  <si>
    <t>Bằng mắt thường
Thước tầm
Thước ni vô
 Máy laser</t>
  </si>
  <si>
    <t xml:space="preserve">  - Khe hở giữa ô chờ và khung nhỏ hơn 9mm tiến hành lắp đặt bình thường.
 - Khe hở giữa ô chờ và khung lớn hơn 10mm thì không được lắp khung vào ô chờ. Lúc này phải bắn thêm các tấm đệm fit với độ dày nhất định.
 - Khoan các lỗ Ø12 trên tường tương ứng với các vị trí lỗ lắp nở thép trên cửa; Đóng nở thép Ø10 x 80 để liên kết khung vào tường và siết lực đủ chặt bắn vít các vị trí tăng cứng và lắp bản lề.</t>
  </si>
  <si>
    <t>Kiểm tra khe hở và trám keo chuyên dụng  giữa khung và tường
Kiểm tra công tác lắp dựng phụ kiện cửa.</t>
  </si>
  <si>
    <t xml:space="preserve"> - Chèn kín khe giữa khung cửa và tường bằng foam chuyên dụng theo thiết kế.
- Tiến hành lắp đặt các phụ kiện như tay co thủy lực, thanh thoát hiểm, mắt thần, khóa…) theo hướng dẫn của nhà sản xuất phụ kiện và kiểm tra số lượng theo thiết kế.
</t>
  </si>
  <si>
    <t xml:space="preserve"> - Kiểm tra vị trí, cao độ lắp cửa so với bản vẽ thiết kế
 - Kiểm tra độ kín khít của cánh cửa
 - Cửa hoạt động êm, chắc chắn
 - Tay khóa, phụ kiện</t>
  </si>
  <si>
    <t>Bằng mắt thường
Đo bằng thước
Máy laser</t>
  </si>
  <si>
    <t xml:space="preserve"> - Cao độ đúng thiết kế, dung sai cao độ ≤ 3mm.
 - Khe hở giữa khung và tường phải được bắn silicon đảm bảo thẩm mỹ, khe hở không được vượt quá 1mm, nếu vượt quá sẽ xử lý bằng Silicon nhưng không vượt quá 2mm.
 </t>
  </si>
  <si>
    <t>Kiểm tra công tác nghiệm thu lắp đặt, vệ sinh.</t>
  </si>
  <si>
    <t>Bằng mắt thường.
Các biên bản nghiệm thu công việc, Checklist quá trình thi công</t>
  </si>
  <si>
    <t>TO: MENU</t>
  </si>
  <si>
    <t>Công tác lắp đặt lan can kính</t>
  </si>
  <si>
    <t>Chủng loại, chất lượng trụ Inox, vách kính, phụ kiện…</t>
  </si>
  <si>
    <t xml:space="preserve">Bằng mắt thường.
Thước thép
</t>
  </si>
  <si>
    <t>Định vị trụ lan can</t>
  </si>
  <si>
    <t xml:space="preserve">
Quả dọi
Máy laser</t>
  </si>
  <si>
    <t>Kích thước đo 1m ≤ h ≤ 2m sai lệch ± 0,5mm
Kích thước đo 0,4m ≤ h ≤ 1m sai lệch ± 0,3mm
Kích thước đo 0,12m ≤ h ≤ 0,4m sai lệch ± 0,2mm
Kích thước đo 0,03m ≤ h ≤0, 12m sai lệch ± 0,15mm
Trụ thẳng hàng theo hai phương ≤  2mm 
khe hở bản mã và nền hoàn thiện ≤ 2mm, nếu lớn hơn hoàn thiện silicone nhưng không vượt quá ≥ 5mm</t>
  </si>
  <si>
    <t>TCVN 2263-1: 2007</t>
  </si>
  <si>
    <t>Lắp đặt vách kính lan can</t>
  </si>
  <si>
    <t>Bằng mắt thường.
Thước nivô
Máy laser</t>
  </si>
  <si>
    <t xml:space="preserve">Độ không vuông góc: giữa chân trụ đến đầu trụ ≤ 1,5mm
0,5mm ≤  Khe hở giữa hai tấm kính để bắn silicone (nếu có) ≤ chiều dày kính 
</t>
  </si>
  <si>
    <t>TCVN: 7362:2014</t>
  </si>
  <si>
    <t>Lắp đặt tay vịn Inox</t>
  </si>
  <si>
    <t>Bằng mắt thường.
Thước thép
Máy laser</t>
  </si>
  <si>
    <t>Vệ sinh lan can kính</t>
  </si>
  <si>
    <t xml:space="preserve"> Biện pháp thi công lan can kính được phê duyệt.</t>
  </si>
  <si>
    <t>Công tác lắp đặt lan can sắt</t>
  </si>
  <si>
    <t>Chủng loại, chất lượng lan can sắt, phụ kiện…</t>
  </si>
  <si>
    <t>Định vị khung lan can sắt</t>
  </si>
  <si>
    <t xml:space="preserve"> Máy Laser
Thước thép</t>
  </si>
  <si>
    <t>Công tác lắp đặt lan can con tiện.</t>
  </si>
  <si>
    <t>Chủng loại, chất lượng lan can con tiện, phụ kiện…</t>
  </si>
  <si>
    <t>Mẫu con tiện được CĐT phê duyệt.
'Kết quả nén mẫu vữa đúc con tiện</t>
  </si>
  <si>
    <t>Lắp đặt lan can con tiện</t>
  </si>
  <si>
    <t>Khe hở giữa các thanh đứng lan can theo thiết kế và ≤ 110mm.
Sai số cho phép:
 + Mặt phẳng, thẳng đứng: ± 5mm
 + Cao độ     :  ± 15mm</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</si>
</sst>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_-[$€]* #,##0.00_-;\-[$€]* #,##0.00_-;_-[$€]* &quot;-&quot;??_-;_-@"/>
    <numFmt numFmtId="165" formatCode="yyyy/m/d"/>
    <numFmt numFmtId="166" formatCode="0.0"/>
  </numFmts>
  <fonts count="16">
    <font>
      <sz val="10.0"/>
      <color theme="1"/>
      <name val="Calibri"/>
      <scheme val="minor"/>
    </font>
    <font>
      <b/>
      <sz val="13.0"/>
      <color rgb="FF000000"/>
      <name val="Calibri"/>
    </font>
    <font>
      <sz val="9.0"/>
      <color rgb="FF000000"/>
      <name val="Calibri"/>
    </font>
    <font>
      <sz val="13.0"/>
      <color rgb="FF000000"/>
      <name val="Calibri"/>
    </font>
    <font>
      <b/>
      <sz val="13.0"/>
      <color rgb="FF000099"/>
      <name val="Calibri"/>
    </font>
    <font>
      <sz val="13.0"/>
      <color rgb="FF000099"/>
      <name val="Calibri"/>
    </font>
    <font>
      <b/>
      <i/>
      <sz val="13.0"/>
      <color rgb="FF000000"/>
      <name val="Calibri"/>
    </font>
    <font>
      <u/>
      <sz val="9.0"/>
      <color rgb="FF000000"/>
      <name val="Calibri"/>
    </font>
    <font>
      <sz val="13.0"/>
      <color rgb="FFFF0000"/>
      <name val="Calibri"/>
    </font>
    <font/>
    <font>
      <u/>
      <sz val="13.0"/>
      <color rgb="FF0000FF"/>
      <name val="Calibri"/>
    </font>
    <font>
      <i/>
      <sz val="13.0"/>
      <color rgb="FF000000"/>
      <name val="Calibri"/>
    </font>
    <font>
      <b/>
      <sz val="12.0"/>
      <color rgb="FF000000"/>
      <name val="Calibri"/>
    </font>
    <font>
      <sz val="12.0"/>
      <color rgb="FF000000"/>
      <name val="Calibri"/>
    </font>
    <font>
      <sz val="10.0"/>
      <color rgb="FF000000"/>
      <name val="Calibri"/>
    </font>
    <font>
      <sz val="10.0"/>
      <color theme="1"/>
      <name val="Calibri"/>
    </font>
  </fonts>
  <fills count="5">
    <fill>
      <patternFill patternType="none"/>
    </fill>
    <fill>
      <patternFill patternType="lightGray"/>
    </fill>
    <fill>
      <patternFill patternType="solid">
        <fgColor rgb="FFFFB66D"/>
        <bgColor rgb="FFFFB66D"/>
      </patternFill>
    </fill>
    <fill>
      <patternFill patternType="solid">
        <fgColor rgb="FFFFF258"/>
        <bgColor rgb="FFFFF258"/>
      </patternFill>
    </fill>
    <fill>
      <patternFill patternType="solid">
        <fgColor rgb="FFFFC000"/>
        <bgColor rgb="FFFFC000"/>
      </patternFill>
    </fill>
  </fills>
  <borders count="40">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ttom/>
    </border>
    <border>
      <left style="thin">
        <color rgb="FF000000"/>
      </left>
      <right/>
      <top style="thin">
        <color rgb="FF000000"/>
      </top>
      <bottom style="thin">
        <color rgb="FF000000"/>
      </bottom>
    </border>
    <border>
      <left style="thin">
        <color rgb="FF1F2329"/>
      </left>
      <right style="thin">
        <color rgb="FF1F2329"/>
      </right>
      <top style="thin">
        <color rgb="FF1F2329"/>
      </top>
      <bottom style="thin">
        <color rgb="FF1F2329"/>
      </bottom>
    </border>
    <border>
      <left style="thin">
        <color rgb="FF000000"/>
      </left>
      <top style="thin">
        <color rgb="FF000000"/>
      </top>
      <bottom style="thin">
        <color rgb="FF000000"/>
      </bottom>
    </border>
    <border>
      <left/>
      <right/>
      <top/>
      <bottom/>
    </border>
    <border>
      <left style="medium">
        <color rgb="FFDEE0E3"/>
      </left>
      <top style="medium">
        <color rgb="FFDEE0E3"/>
      </top>
      <bottom style="medium">
        <color rgb="FFDEE0E3"/>
      </bottom>
    </border>
    <border>
      <top style="medium">
        <color rgb="FFDEE0E3"/>
      </top>
      <bottom style="medium">
        <color rgb="FFDEE0E3"/>
      </bottom>
    </border>
    <border>
      <right style="medium">
        <color rgb="FFDEE0E3"/>
      </right>
      <top style="medium">
        <color rgb="FFDEE0E3"/>
      </top>
      <bottom style="medium">
        <color rgb="FFDEE0E3"/>
      </bottom>
    </border>
    <border>
      <left style="thin">
        <color rgb="FF000000"/>
      </left>
    </border>
    <border>
      <left style="thin">
        <color rgb="FF000000"/>
      </left>
      <bottom style="thin">
        <color rgb="FF000000"/>
      </bottom>
    </border>
    <border>
      <bottom style="thin">
        <color rgb="FF000000"/>
      </bottom>
    </border>
    <border>
      <left style="thin">
        <color rgb="FF000000"/>
      </left>
      <right style="thin">
        <color rgb="FF000000"/>
      </right>
      <top style="thin">
        <color rgb="FF000000"/>
      </top>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border>
    <border>
      <left style="thin">
        <color rgb="FF1F2329"/>
      </left>
      <top style="thin">
        <color rgb="FF1F2329"/>
      </top>
    </border>
    <border>
      <top style="thin">
        <color rgb="FF1F2329"/>
      </top>
    </border>
    <border>
      <right style="thin">
        <color rgb="FF1F2329"/>
      </right>
      <top style="thin">
        <color rgb="FF1F2329"/>
      </top>
    </border>
    <border>
      <left style="thin">
        <color rgb="FF1F2329"/>
      </left>
    </border>
    <border>
      <right style="thin">
        <color rgb="FF1F2329"/>
      </right>
    </border>
    <border>
      <left style="thin">
        <color rgb="FF1F2329"/>
      </left>
      <bottom style="thin">
        <color rgb="FF1F2329"/>
      </bottom>
    </border>
    <border>
      <bottom style="thin">
        <color rgb="FF1F2329"/>
      </bottom>
    </border>
    <border>
      <right style="thin">
        <color rgb="FF1F2329"/>
      </right>
      <bottom style="thin">
        <color rgb="FF1F2329"/>
      </bottom>
    </border>
    <border>
      <left style="thin">
        <color rgb="FF1F2329"/>
      </left>
      <right style="thin">
        <color rgb="FF1F2329"/>
      </right>
      <top style="thin">
        <color rgb="FF1F2329"/>
      </top>
    </border>
    <border>
      <left style="thin">
        <color rgb="FF1F2329"/>
      </left>
      <right style="thin">
        <color rgb="FF1F2329"/>
      </right>
    </border>
    <border>
      <left style="thin">
        <color rgb="FF1F2329"/>
      </left>
      <right style="thin">
        <color rgb="FF1F2329"/>
      </right>
      <bottom style="thin">
        <color rgb="FF1F2329"/>
      </bottom>
    </border>
    <border>
      <left style="thin">
        <color rgb="FF000000"/>
      </left>
      <right style="thin">
        <color rgb="FF000000"/>
      </right>
      <top style="hair">
        <color rgb="FF000000"/>
      </top>
    </border>
    <border>
      <left style="thin">
        <color rgb="FF000000"/>
      </left>
      <right style="thin">
        <color rgb="FF000000"/>
      </right>
      <top style="hair">
        <color rgb="FF000000"/>
      </top>
      <bottom style="hair">
        <color rgb="FF000000"/>
      </bottom>
    </border>
    <border>
      <left style="thin">
        <color rgb="FF000000"/>
      </left>
      <right style="thin">
        <color rgb="FF000000"/>
      </right>
      <top style="hair">
        <color rgb="FF000000"/>
      </top>
      <bottom style="thin">
        <color rgb="FF000000"/>
      </bottom>
    </border>
    <border>
      <left style="thin">
        <color rgb="FF000000"/>
      </left>
      <right style="medium">
        <color rgb="FF000000"/>
      </right>
      <top style="thin">
        <color rgb="FF000000"/>
      </top>
      <bottom style="thin">
        <color rgb="FF000000"/>
      </bottom>
    </border>
    <border>
      <left style="thin">
        <color rgb="FF000000"/>
      </left>
      <right style="medium">
        <color rgb="FF000000"/>
      </right>
      <top style="hair">
        <color rgb="FF000000"/>
      </top>
    </border>
    <border>
      <left style="thin">
        <color rgb="FF000000"/>
      </left>
      <right style="medium">
        <color rgb="FF000000"/>
      </right>
      <bottom style="hair">
        <color rgb="FF000000"/>
      </bottom>
    </border>
    <border>
      <left style="thin">
        <color rgb="FF000000"/>
      </left>
      <right style="thin">
        <color rgb="FF000000"/>
      </right>
      <bottom style="hair">
        <color rgb="FF000000"/>
      </bottom>
    </border>
    <border>
      <left style="thin">
        <color rgb="FF000000"/>
      </left>
      <right style="medium">
        <color rgb="FF000000"/>
      </right>
      <top style="hair">
        <color rgb="FF000000"/>
      </top>
      <bottom style="thin">
        <color rgb="FF000000"/>
      </bottom>
    </border>
    <border>
      <left style="thin">
        <color rgb="FF000000"/>
      </left>
      <right style="medium">
        <color rgb="FF000000"/>
      </right>
      <top style="hair">
        <color rgb="FF000000"/>
      </top>
      <bottom style="hair">
        <color rgb="FF000000"/>
      </bottom>
    </border>
    <border>
      <left style="thin">
        <color rgb="FF000000"/>
      </left>
      <right style="medium">
        <color rgb="FF000000"/>
      </right>
    </border>
    <border>
      <left style="thin">
        <color rgb="FF000000"/>
      </left>
      <right style="thin">
        <color rgb="FF000000"/>
      </right>
      <bottom style="medium">
        <color rgb="FF000000"/>
      </bottom>
    </border>
    <border>
      <left style="thin">
        <color rgb="FF000000"/>
      </left>
      <right style="thin">
        <color rgb="FF000000"/>
      </right>
      <top style="thin">
        <color rgb="FF000000"/>
      </top>
      <bottom style="dotted">
        <color rgb="FF000000"/>
      </bottom>
    </border>
  </borders>
  <cellStyleXfs count="1">
    <xf borderId="0" fillId="0" fontId="0" numFmtId="0" applyAlignment="1" applyFont="1"/>
  </cellStyleXfs>
  <cellXfs count="130">
    <xf borderId="0" fillId="0" fontId="0" numFmtId="0" xfId="0" applyAlignment="1" applyFont="1">
      <alignment readingOrder="0" shrinkToFit="0" vertical="center" wrapText="0"/>
    </xf>
    <xf borderId="0" fillId="0" fontId="1" numFmtId="0" xfId="0" applyAlignment="1" applyFont="1">
      <alignment horizontal="center" vertical="center"/>
    </xf>
    <xf borderId="0" fillId="0" fontId="2" numFmtId="0" xfId="0" applyAlignment="1" applyFont="1">
      <alignment horizontal="center" vertical="center"/>
    </xf>
    <xf borderId="0" fillId="0" fontId="1" numFmtId="0" xfId="0" applyAlignment="1" applyFont="1">
      <alignment horizontal="left" vertical="top"/>
    </xf>
    <xf borderId="0" fillId="0" fontId="1" numFmtId="0" xfId="0" applyAlignment="1" applyFont="1">
      <alignment horizontal="center" shrinkToFit="0" vertical="top" wrapText="1"/>
    </xf>
    <xf borderId="0" fillId="0" fontId="3" numFmtId="0" xfId="0" applyAlignment="1" applyFont="1">
      <alignment horizontal="center" vertical="top"/>
    </xf>
    <xf borderId="1" fillId="2" fontId="1" numFmtId="0" xfId="0" applyAlignment="1" applyBorder="1" applyFill="1" applyFont="1">
      <alignment horizontal="center" vertical="center"/>
    </xf>
    <xf borderId="1" fillId="2" fontId="1" numFmtId="0" xfId="0" applyAlignment="1" applyBorder="1" applyFont="1">
      <alignment horizontal="center" shrinkToFit="0" vertical="center" wrapText="1"/>
    </xf>
    <xf borderId="1" fillId="3" fontId="4" numFmtId="0" xfId="0" applyAlignment="1" applyBorder="1" applyFill="1" applyFont="1">
      <alignment horizontal="center" vertical="center"/>
    </xf>
    <xf borderId="1" fillId="3" fontId="4" numFmtId="0" xfId="0" applyAlignment="1" applyBorder="1" applyFont="1">
      <alignment shrinkToFit="0" vertical="center" wrapText="1"/>
    </xf>
    <xf borderId="2" fillId="3" fontId="5" numFmtId="164" xfId="0" applyAlignment="1" applyBorder="1" applyFont="1" applyNumberFormat="1">
      <alignment horizontal="center" vertical="center"/>
    </xf>
    <xf borderId="1" fillId="3" fontId="6" numFmtId="0" xfId="0" applyAlignment="1" applyBorder="1" applyFont="1">
      <alignment horizontal="center" vertical="top"/>
    </xf>
    <xf borderId="3" fillId="3" fontId="6" numFmtId="0" xfId="0" applyAlignment="1" applyBorder="1" applyFont="1">
      <alignment shrinkToFit="0" vertical="top" wrapText="1"/>
    </xf>
    <xf borderId="4" fillId="3" fontId="2" numFmtId="0" xfId="0" applyAlignment="1" applyBorder="1" applyFont="1">
      <alignment horizontal="center" vertical="center"/>
    </xf>
    <xf borderId="1" fillId="0" fontId="3" numFmtId="0" xfId="0" applyAlignment="1" applyBorder="1" applyFont="1">
      <alignment horizontal="center" vertical="top"/>
    </xf>
    <xf borderId="5" fillId="0" fontId="3" numFmtId="0" xfId="0" applyAlignment="1" applyBorder="1" applyFont="1">
      <alignment shrinkToFit="0" vertical="top" wrapText="1"/>
    </xf>
    <xf borderId="4" fillId="0" fontId="7" numFmtId="0" xfId="0" applyAlignment="1" applyBorder="1" applyFont="1">
      <alignment horizontal="center" vertical="center"/>
    </xf>
    <xf borderId="3" fillId="3" fontId="4" numFmtId="0" xfId="0" applyAlignment="1" applyBorder="1" applyFont="1">
      <alignment shrinkToFit="0" vertical="center" wrapText="1"/>
    </xf>
    <xf borderId="4" fillId="0" fontId="2" numFmtId="0" xfId="0" applyAlignment="1" applyBorder="1" applyFont="1">
      <alignment horizontal="center" vertical="center"/>
    </xf>
    <xf borderId="6" fillId="4" fontId="8" numFmtId="0" xfId="0" applyAlignment="1" applyBorder="1" applyFill="1" applyFont="1">
      <alignment vertical="center"/>
    </xf>
    <xf borderId="6" fillId="4" fontId="3" numFmtId="0" xfId="0" applyAlignment="1" applyBorder="1" applyFont="1">
      <alignment shrinkToFit="0" vertical="center" wrapText="1"/>
    </xf>
    <xf borderId="6" fillId="4" fontId="3" numFmtId="0" xfId="0" applyAlignment="1" applyBorder="1" applyFont="1">
      <alignment vertical="center"/>
    </xf>
    <xf borderId="6" fillId="4" fontId="3" numFmtId="0" xfId="0" applyAlignment="1" applyBorder="1" applyFont="1">
      <alignment horizontal="center" vertical="center"/>
    </xf>
    <xf borderId="7" fillId="0" fontId="3" numFmtId="164" xfId="0" applyAlignment="1" applyBorder="1" applyFont="1" applyNumberFormat="1">
      <alignment horizontal="center" shrinkToFit="0" vertical="center" wrapText="1"/>
    </xf>
    <xf borderId="8" fillId="0" fontId="9" numFmtId="0" xfId="0" applyAlignment="1" applyBorder="1" applyFont="1">
      <alignment vertical="center"/>
    </xf>
    <xf borderId="9" fillId="0" fontId="9" numFmtId="0" xfId="0" applyAlignment="1" applyBorder="1" applyFont="1">
      <alignment vertical="center"/>
    </xf>
    <xf borderId="0" fillId="0" fontId="3" numFmtId="0" xfId="0" applyAlignment="1" applyFont="1">
      <alignment horizontal="center" vertical="center"/>
    </xf>
    <xf borderId="10" fillId="0" fontId="1" numFmtId="0" xfId="0" applyAlignment="1" applyBorder="1" applyFont="1">
      <alignment horizontal="center" vertical="center"/>
    </xf>
    <xf borderId="0" fillId="0" fontId="10" numFmtId="0" xfId="0" applyAlignment="1" applyFont="1">
      <alignment vertical="center"/>
    </xf>
    <xf borderId="10" fillId="0" fontId="3" numFmtId="0" xfId="0" applyAlignment="1" applyBorder="1" applyFont="1">
      <alignment vertical="center"/>
    </xf>
    <xf borderId="0" fillId="0" fontId="3" numFmtId="0" xfId="0" applyAlignment="1" applyFont="1">
      <alignment shrinkToFit="0" vertical="center" wrapText="1"/>
    </xf>
    <xf borderId="0" fillId="0" fontId="1" numFmtId="0" xfId="0" applyAlignment="1" applyFont="1">
      <alignment shrinkToFit="0" vertical="center" wrapText="1"/>
    </xf>
    <xf borderId="0" fillId="0" fontId="3" numFmtId="0" xfId="0" applyAlignment="1" applyFont="1">
      <alignment vertical="center"/>
    </xf>
    <xf borderId="0" fillId="0" fontId="1" numFmtId="0" xfId="0" applyAlignment="1" applyFont="1">
      <alignment vertical="center"/>
    </xf>
    <xf borderId="11" fillId="0" fontId="1" numFmtId="0" xfId="0" applyAlignment="1" applyBorder="1" applyFont="1">
      <alignment horizontal="center" vertical="center"/>
    </xf>
    <xf borderId="12" fillId="0" fontId="3" numFmtId="0" xfId="0" applyAlignment="1" applyBorder="1" applyFont="1">
      <alignment horizontal="center" vertical="center"/>
    </xf>
    <xf borderId="12" fillId="0" fontId="3" numFmtId="0" xfId="0" applyAlignment="1" applyBorder="1" applyFont="1">
      <alignment horizontal="left" shrinkToFit="0" vertical="center" wrapText="1"/>
    </xf>
    <xf borderId="13" fillId="0" fontId="1" numFmtId="0" xfId="0" applyAlignment="1" applyBorder="1" applyFont="1">
      <alignment horizontal="center" vertical="center"/>
    </xf>
    <xf borderId="13" fillId="0" fontId="1" numFmtId="0" xfId="0" applyAlignment="1" applyBorder="1" applyFont="1">
      <alignment horizontal="center" shrinkToFit="0" vertical="center" wrapText="1"/>
    </xf>
    <xf borderId="5" fillId="0" fontId="1" numFmtId="0" xfId="0" applyAlignment="1" applyBorder="1" applyFont="1">
      <alignment horizontal="center" vertical="center"/>
    </xf>
    <xf borderId="14" fillId="0" fontId="9" numFmtId="0" xfId="0" applyAlignment="1" applyBorder="1" applyFont="1">
      <alignment vertical="center"/>
    </xf>
    <xf borderId="15" fillId="0" fontId="9" numFmtId="0" xfId="0" applyAlignment="1" applyBorder="1" applyFont="1">
      <alignment vertical="center"/>
    </xf>
    <xf borderId="1" fillId="0" fontId="1" numFmtId="0" xfId="0" applyAlignment="1" applyBorder="1" applyFont="1">
      <alignment horizontal="center" shrinkToFit="0" vertical="center" wrapText="1"/>
    </xf>
    <xf borderId="13" fillId="0" fontId="3" numFmtId="0" xfId="0" applyAlignment="1" applyBorder="1" applyFont="1">
      <alignment horizontal="center" vertical="center"/>
    </xf>
    <xf borderId="1" fillId="0" fontId="3" numFmtId="0" xfId="0" applyAlignment="1" applyBorder="1" applyFont="1">
      <alignment shrinkToFit="0" vertical="center" wrapText="1"/>
    </xf>
    <xf borderId="1" fillId="0" fontId="3" numFmtId="165" xfId="0" applyAlignment="1" applyBorder="1" applyFont="1" applyNumberFormat="1">
      <alignment horizontal="center" shrinkToFit="0" vertical="center" wrapText="1"/>
    </xf>
    <xf borderId="1" fillId="0" fontId="3" numFmtId="165" xfId="0" applyAlignment="1" applyBorder="1" applyFont="1" applyNumberFormat="1">
      <alignment horizontal="left" shrinkToFit="0" vertical="center" wrapText="1"/>
    </xf>
    <xf borderId="1" fillId="0" fontId="3" numFmtId="166" xfId="0" applyAlignment="1" applyBorder="1" applyFont="1" applyNumberFormat="1">
      <alignment horizontal="center" shrinkToFit="0" vertical="center" wrapText="1"/>
    </xf>
    <xf borderId="16" fillId="0" fontId="9" numFmtId="0" xfId="0" applyAlignment="1" applyBorder="1" applyFont="1">
      <alignment vertical="center"/>
    </xf>
    <xf borderId="1" fillId="0" fontId="3" numFmtId="10" xfId="0" applyAlignment="1" applyBorder="1" applyFont="1" applyNumberFormat="1">
      <alignment shrinkToFit="0" vertical="center" wrapText="1"/>
    </xf>
    <xf borderId="16" fillId="0" fontId="1" numFmtId="0" xfId="0" applyAlignment="1" applyBorder="1" applyFont="1">
      <alignment horizontal="center" shrinkToFit="0" vertical="center" wrapText="1"/>
    </xf>
    <xf borderId="1" fillId="0" fontId="1" numFmtId="165" xfId="0" applyAlignment="1" applyBorder="1" applyFont="1" applyNumberFormat="1">
      <alignment horizontal="center" shrinkToFit="0" vertical="center" wrapText="1"/>
    </xf>
    <xf borderId="0" fillId="0" fontId="11" numFmtId="0" xfId="0" applyAlignment="1" applyFont="1">
      <alignment vertical="center"/>
    </xf>
    <xf borderId="0" fillId="0" fontId="11" numFmtId="0" xfId="0" applyAlignment="1" applyFont="1">
      <alignment shrinkToFit="0" vertical="center" wrapText="1"/>
    </xf>
    <xf borderId="0" fillId="0" fontId="11" numFmtId="0" xfId="0" applyAlignment="1" applyFont="1">
      <alignment horizontal="center" vertical="center"/>
    </xf>
    <xf borderId="17" fillId="0" fontId="1" numFmtId="0" xfId="0" applyAlignment="1" applyBorder="1" applyFont="1">
      <alignment vertical="top"/>
    </xf>
    <xf borderId="18" fillId="0" fontId="9" numFmtId="0" xfId="0" applyAlignment="1" applyBorder="1" applyFont="1">
      <alignment vertical="center"/>
    </xf>
    <xf borderId="19" fillId="0" fontId="9" numFmtId="0" xfId="0" applyAlignment="1" applyBorder="1" applyFont="1">
      <alignment vertical="center"/>
    </xf>
    <xf borderId="20" fillId="0" fontId="9" numFmtId="0" xfId="0" applyAlignment="1" applyBorder="1" applyFont="1">
      <alignment vertical="center"/>
    </xf>
    <xf borderId="21" fillId="0" fontId="9" numFmtId="0" xfId="0" applyAlignment="1" applyBorder="1" applyFont="1">
      <alignment vertical="center"/>
    </xf>
    <xf borderId="22" fillId="0" fontId="9" numFmtId="0" xfId="0" applyAlignment="1" applyBorder="1" applyFont="1">
      <alignment vertical="center"/>
    </xf>
    <xf borderId="23" fillId="0" fontId="9" numFmtId="0" xfId="0" applyAlignment="1" applyBorder="1" applyFont="1">
      <alignment vertical="center"/>
    </xf>
    <xf borderId="24" fillId="0" fontId="9" numFmtId="0" xfId="0" applyAlignment="1" applyBorder="1" applyFont="1">
      <alignment vertical="center"/>
    </xf>
    <xf borderId="17" fillId="0" fontId="12" numFmtId="0" xfId="0" applyAlignment="1" applyBorder="1" applyFont="1">
      <alignment horizontal="center" vertical="top"/>
    </xf>
    <xf borderId="1" fillId="0" fontId="3" numFmtId="0" xfId="0" applyAlignment="1" applyBorder="1" applyFont="1">
      <alignment horizontal="center" shrinkToFit="0" vertical="center" wrapText="1"/>
    </xf>
    <xf borderId="16" fillId="0" fontId="3" numFmtId="0" xfId="0" applyAlignment="1" applyBorder="1" applyFont="1">
      <alignment horizontal="center" vertical="center"/>
    </xf>
    <xf borderId="1" fillId="0" fontId="3" numFmtId="0" xfId="0" applyAlignment="1" applyBorder="1" applyFont="1">
      <alignment horizontal="left" shrinkToFit="0" vertical="center" wrapText="1"/>
    </xf>
    <xf borderId="1" fillId="0" fontId="3" numFmtId="165" xfId="0" applyAlignment="1" applyBorder="1" applyFont="1" applyNumberFormat="1">
      <alignment shrinkToFit="0" vertical="center" wrapText="1"/>
    </xf>
    <xf borderId="15" fillId="0" fontId="3" numFmtId="0" xfId="0" applyAlignment="1" applyBorder="1" applyFont="1">
      <alignment horizontal="center" vertical="center"/>
    </xf>
    <xf borderId="0" fillId="0" fontId="3" numFmtId="164" xfId="0" applyAlignment="1" applyFont="1" applyNumberFormat="1">
      <alignment horizontal="center" shrinkToFit="0" vertical="center" wrapText="1"/>
    </xf>
    <xf borderId="0" fillId="0" fontId="2" numFmtId="0" xfId="0" applyAlignment="1" applyFont="1">
      <alignment vertical="center"/>
    </xf>
    <xf borderId="25" fillId="0" fontId="3" numFmtId="0" xfId="0" applyAlignment="1" applyBorder="1" applyFont="1">
      <alignment horizontal="center" vertical="center"/>
    </xf>
    <xf borderId="25" fillId="0" fontId="1" numFmtId="0" xfId="0" applyAlignment="1" applyBorder="1" applyFont="1">
      <alignment horizontal="center" shrinkToFit="0" vertical="center" wrapText="1"/>
    </xf>
    <xf borderId="14" fillId="0" fontId="3" numFmtId="0" xfId="0" applyAlignment="1" applyBorder="1" applyFont="1">
      <alignment shrinkToFit="0" vertical="center" wrapText="1"/>
    </xf>
    <xf borderId="26" fillId="0" fontId="9" numFmtId="0" xfId="0" applyAlignment="1" applyBorder="1" applyFont="1">
      <alignment vertical="center"/>
    </xf>
    <xf borderId="1" fillId="0" fontId="13" numFmtId="165" xfId="0" applyAlignment="1" applyBorder="1" applyFont="1" applyNumberFormat="1">
      <alignment horizontal="left" shrinkToFit="0" vertical="center" wrapText="1"/>
    </xf>
    <xf borderId="27" fillId="0" fontId="9" numFmtId="0" xfId="0" applyAlignment="1" applyBorder="1" applyFont="1">
      <alignment vertical="center"/>
    </xf>
    <xf borderId="14" fillId="0" fontId="3" numFmtId="10" xfId="0" applyAlignment="1" applyBorder="1" applyFont="1" applyNumberFormat="1">
      <alignment shrinkToFit="0" vertical="center" wrapText="1"/>
    </xf>
    <xf borderId="4" fillId="0" fontId="11" numFmtId="0" xfId="0" applyAlignment="1" applyBorder="1" applyFont="1">
      <alignment vertical="center"/>
    </xf>
    <xf borderId="20" fillId="0" fontId="1" numFmtId="0" xfId="0" applyAlignment="1" applyBorder="1" applyFont="1">
      <alignment vertical="top"/>
    </xf>
    <xf borderId="1" fillId="0" fontId="13" numFmtId="165" xfId="0" applyAlignment="1" applyBorder="1" applyFont="1" applyNumberFormat="1">
      <alignment horizontal="center" shrinkToFit="0" vertical="center" wrapText="1"/>
    </xf>
    <xf borderId="1" fillId="0" fontId="13" numFmtId="0" xfId="0" applyAlignment="1" applyBorder="1" applyFont="1">
      <alignment shrinkToFit="0" vertical="center" wrapText="1"/>
    </xf>
    <xf borderId="28" fillId="0" fontId="13" numFmtId="164" xfId="0" applyAlignment="1" applyBorder="1" applyFont="1" applyNumberFormat="1">
      <alignment shrinkToFit="0" vertical="center" wrapText="1"/>
    </xf>
    <xf borderId="1" fillId="0" fontId="13" numFmtId="165" xfId="0" applyAlignment="1" applyBorder="1" applyFont="1" applyNumberFormat="1">
      <alignment shrinkToFit="0" vertical="center" wrapText="1"/>
    </xf>
    <xf borderId="29" fillId="0" fontId="13" numFmtId="164" xfId="0" applyAlignment="1" applyBorder="1" applyFont="1" applyNumberFormat="1">
      <alignment shrinkToFit="0" vertical="center" wrapText="1"/>
    </xf>
    <xf borderId="1" fillId="0" fontId="13" numFmtId="164" xfId="0" applyAlignment="1" applyBorder="1" applyFont="1" applyNumberFormat="1">
      <alignment shrinkToFit="0" vertical="center" wrapText="1"/>
    </xf>
    <xf borderId="30" fillId="0" fontId="13" numFmtId="164" xfId="0" applyAlignment="1" applyBorder="1" applyFont="1" applyNumberFormat="1">
      <alignment shrinkToFit="0" vertical="center" wrapText="1"/>
    </xf>
    <xf borderId="15" fillId="0" fontId="13" numFmtId="164" xfId="0" applyAlignment="1" applyBorder="1" applyFont="1" applyNumberFormat="1">
      <alignment shrinkToFit="0" vertical="center" wrapText="1"/>
    </xf>
    <xf borderId="31" fillId="0" fontId="13" numFmtId="164" xfId="0" applyAlignment="1" applyBorder="1" applyFont="1" applyNumberFormat="1">
      <alignment shrinkToFit="0" vertical="center" wrapText="1"/>
    </xf>
    <xf borderId="32" fillId="0" fontId="13" numFmtId="164" xfId="0" applyAlignment="1" applyBorder="1" applyFont="1" applyNumberFormat="1">
      <alignment shrinkToFit="0" vertical="center" wrapText="1"/>
    </xf>
    <xf borderId="33" fillId="0" fontId="13" numFmtId="164" xfId="0" applyAlignment="1" applyBorder="1" applyFont="1" applyNumberFormat="1">
      <alignment shrinkToFit="0" vertical="center" wrapText="1"/>
    </xf>
    <xf borderId="34" fillId="0" fontId="13" numFmtId="164" xfId="0" applyAlignment="1" applyBorder="1" applyFont="1" applyNumberFormat="1">
      <alignment shrinkToFit="0" vertical="center" wrapText="1"/>
    </xf>
    <xf borderId="35" fillId="0" fontId="13" numFmtId="164" xfId="0" applyAlignment="1" applyBorder="1" applyFont="1" applyNumberFormat="1">
      <alignment shrinkToFit="0" vertical="center" wrapText="1"/>
    </xf>
    <xf borderId="36" fillId="0" fontId="13" numFmtId="164" xfId="0" applyAlignment="1" applyBorder="1" applyFont="1" applyNumberFormat="1">
      <alignment shrinkToFit="0" vertical="center" wrapText="1"/>
    </xf>
    <xf borderId="1" fillId="0" fontId="1" numFmtId="0" xfId="0" applyAlignment="1" applyBorder="1" applyFont="1">
      <alignment shrinkToFit="0" vertical="center" wrapText="1"/>
    </xf>
    <xf borderId="13" fillId="0" fontId="1" numFmtId="0" xfId="0" applyAlignment="1" applyBorder="1" applyFont="1">
      <alignment shrinkToFit="0" vertical="center" wrapText="1"/>
    </xf>
    <xf borderId="13" fillId="0" fontId="1" numFmtId="0" xfId="0" applyAlignment="1" applyBorder="1" applyFont="1">
      <alignment horizontal="left" shrinkToFit="0" vertical="center" wrapText="1"/>
    </xf>
    <xf borderId="16" fillId="0" fontId="13" numFmtId="164" xfId="0" applyAlignment="1" applyBorder="1" applyFont="1" applyNumberFormat="1">
      <alignment shrinkToFit="0" vertical="center" wrapText="1"/>
    </xf>
    <xf borderId="37" fillId="0" fontId="13" numFmtId="164" xfId="0" applyAlignment="1" applyBorder="1" applyFont="1" applyNumberFormat="1">
      <alignment shrinkToFit="0" vertical="center" wrapText="1"/>
    </xf>
    <xf borderId="38" fillId="0" fontId="13" numFmtId="164" xfId="0" applyAlignment="1" applyBorder="1" applyFont="1" applyNumberFormat="1">
      <alignment shrinkToFit="0" vertical="center" wrapText="1"/>
    </xf>
    <xf borderId="39" fillId="0" fontId="3" numFmtId="164" xfId="0" applyAlignment="1" applyBorder="1" applyFont="1" applyNumberFormat="1">
      <alignment shrinkToFit="0" vertical="center" wrapText="1"/>
    </xf>
    <xf borderId="1" fillId="0" fontId="3" numFmtId="164" xfId="0" applyAlignment="1" applyBorder="1" applyFont="1" applyNumberFormat="1">
      <alignment shrinkToFit="0" vertical="center" wrapText="1"/>
    </xf>
    <xf borderId="1" fillId="0" fontId="3" numFmtId="165" xfId="0" applyAlignment="1" applyBorder="1" applyFont="1" applyNumberFormat="1">
      <alignment horizontal="left" shrinkToFit="0" vertical="top" wrapText="1"/>
    </xf>
    <xf borderId="1" fillId="0" fontId="3" numFmtId="165" xfId="0" applyAlignment="1" applyBorder="1" applyFont="1" applyNumberFormat="1">
      <alignment horizontal="left" shrinkToFit="0" vertical="bottom" wrapText="1"/>
    </xf>
    <xf borderId="1" fillId="0" fontId="3" numFmtId="166" xfId="0" applyAlignment="1" applyBorder="1" applyFont="1" applyNumberFormat="1">
      <alignment horizontal="center" shrinkToFit="0" vertical="bottom" wrapText="1"/>
    </xf>
    <xf borderId="1" fillId="0" fontId="13" numFmtId="165" xfId="0" applyAlignment="1" applyBorder="1" applyFont="1" applyNumberFormat="1">
      <alignment horizontal="left" shrinkToFit="0" vertical="bottom" wrapText="1"/>
    </xf>
    <xf borderId="13" fillId="0" fontId="12" numFmtId="0" xfId="0" applyAlignment="1" applyBorder="1" applyFont="1">
      <alignment horizontal="center" shrinkToFit="0" vertical="center" wrapText="1"/>
    </xf>
    <xf borderId="1" fillId="0" fontId="13" numFmtId="166" xfId="0" applyAlignment="1" applyBorder="1" applyFont="1" applyNumberFormat="1">
      <alignment horizontal="center" shrinkToFit="0" vertical="center" wrapText="1"/>
    </xf>
    <xf borderId="1" fillId="0" fontId="2" numFmtId="165" xfId="0" applyAlignment="1" applyBorder="1" applyFont="1" applyNumberFormat="1">
      <alignment horizontal="left" shrinkToFit="0" vertical="top" wrapText="1"/>
    </xf>
    <xf borderId="16" fillId="0" fontId="13" numFmtId="0" xfId="0" applyAlignment="1" applyBorder="1" applyFont="1">
      <alignment horizontal="center" vertical="center"/>
    </xf>
    <xf borderId="16" fillId="0" fontId="12" numFmtId="0" xfId="0" applyAlignment="1" applyBorder="1" applyFont="1">
      <alignment horizontal="center" shrinkToFit="0" vertical="center" wrapText="1"/>
    </xf>
    <xf borderId="1" fillId="0" fontId="13" numFmtId="165" xfId="0" applyAlignment="1" applyBorder="1" applyFont="1" applyNumberFormat="1">
      <alignment shrinkToFit="0" vertical="top" wrapText="1"/>
    </xf>
    <xf borderId="1" fillId="0" fontId="13" numFmtId="0" xfId="0" applyAlignment="1" applyBorder="1" applyFont="1">
      <alignment horizontal="left" vertical="center"/>
    </xf>
    <xf borderId="1" fillId="0" fontId="13" numFmtId="0" xfId="0" applyAlignment="1" applyBorder="1" applyFont="1">
      <alignment horizontal="left" shrinkToFit="0" vertical="center" wrapText="1"/>
    </xf>
    <xf borderId="1" fillId="0" fontId="13" numFmtId="164" xfId="0" applyAlignment="1" applyBorder="1" applyFont="1" applyNumberFormat="1">
      <alignment vertical="center"/>
    </xf>
    <xf borderId="1" fillId="0" fontId="13" numFmtId="164" xfId="0" applyAlignment="1" applyBorder="1" applyFont="1" applyNumberFormat="1">
      <alignment horizontal="left" shrinkToFit="0" vertical="center" wrapText="1"/>
    </xf>
    <xf borderId="1" fillId="0" fontId="13" numFmtId="164" xfId="0" applyAlignment="1" applyBorder="1" applyFont="1" applyNumberFormat="1">
      <alignment horizontal="left" vertical="center"/>
    </xf>
    <xf borderId="5" fillId="0" fontId="11" numFmtId="0" xfId="0" applyAlignment="1" applyBorder="1" applyFont="1">
      <alignment horizontal="center" vertical="center"/>
    </xf>
    <xf borderId="14" fillId="0" fontId="11" numFmtId="0" xfId="0" applyAlignment="1" applyBorder="1" applyFont="1">
      <alignment vertical="center"/>
    </xf>
    <xf borderId="1" fillId="0" fontId="14" numFmtId="165" xfId="0" applyAlignment="1" applyBorder="1" applyFont="1" applyNumberFormat="1">
      <alignment horizontal="left" shrinkToFit="0" vertical="center" wrapText="1"/>
    </xf>
    <xf borderId="1" fillId="0" fontId="11" numFmtId="0" xfId="0" applyAlignment="1" applyBorder="1" applyFont="1">
      <alignment vertical="center"/>
    </xf>
    <xf borderId="1" fillId="0" fontId="2" numFmtId="165" xfId="0" applyAlignment="1" applyBorder="1" applyFont="1" applyNumberFormat="1">
      <alignment horizontal="left" shrinkToFit="0" vertical="center" wrapText="1"/>
    </xf>
    <xf borderId="13" fillId="0" fontId="13" numFmtId="0" xfId="0" applyAlignment="1" applyBorder="1" applyFont="1">
      <alignment horizontal="center" vertical="center"/>
    </xf>
    <xf borderId="1" fillId="0" fontId="14" numFmtId="0" xfId="0" applyAlignment="1" applyBorder="1" applyFont="1">
      <alignment shrinkToFit="0" vertical="center" wrapText="1"/>
    </xf>
    <xf borderId="1" fillId="0" fontId="13" numFmtId="165" xfId="0" applyAlignment="1" applyBorder="1" applyFont="1" applyNumberFormat="1">
      <alignment horizontal="left" shrinkToFit="0" vertical="top" wrapText="1"/>
    </xf>
    <xf borderId="1" fillId="0" fontId="2" numFmtId="0" xfId="0" applyAlignment="1" applyBorder="1" applyFont="1">
      <alignment shrinkToFit="0" vertical="center" wrapText="1"/>
    </xf>
    <xf borderId="5" fillId="0" fontId="13" numFmtId="166" xfId="0" applyAlignment="1" applyBorder="1" applyFont="1" applyNumberFormat="1">
      <alignment horizontal="center" shrinkToFit="0" vertical="center" wrapText="1"/>
    </xf>
    <xf borderId="4" fillId="0" fontId="13" numFmtId="164" xfId="0" applyAlignment="1" applyBorder="1" applyFont="1" applyNumberFormat="1">
      <alignment shrinkToFit="0" vertical="center" wrapText="1"/>
    </xf>
    <xf borderId="0" fillId="0" fontId="15" numFmtId="0" xfId="0" applyAlignment="1" applyFont="1">
      <alignment vertical="bottom"/>
    </xf>
    <xf borderId="15" fillId="0" fontId="13" numFmtId="165" xfId="0" applyAlignment="1" applyBorder="1" applyFont="1" applyNumberForma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40" Type="http://schemas.openxmlformats.org/officeDocument/2006/relationships/worksheet" Target="worksheets/sheet37.xml"/><Relationship Id="rId42" Type="http://schemas.openxmlformats.org/officeDocument/2006/relationships/worksheet" Target="worksheets/sheet39.xml"/><Relationship Id="rId41" Type="http://schemas.openxmlformats.org/officeDocument/2006/relationships/worksheet" Target="worksheets/sheet38.xml"/><Relationship Id="rId44" Type="http://schemas.openxmlformats.org/officeDocument/2006/relationships/worksheet" Target="worksheets/sheet41.xml"/><Relationship Id="rId43" Type="http://schemas.openxmlformats.org/officeDocument/2006/relationships/worksheet" Target="worksheets/sheet40.xml"/><Relationship Id="rId46" Type="http://schemas.openxmlformats.org/officeDocument/2006/relationships/worksheet" Target="worksheets/sheet43.xml"/><Relationship Id="rId45" Type="http://schemas.openxmlformats.org/officeDocument/2006/relationships/worksheet" Target="worksheets/sheet42.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48" Type="http://schemas.openxmlformats.org/officeDocument/2006/relationships/worksheet" Target="worksheets/sheet45.xml"/><Relationship Id="rId47" Type="http://schemas.openxmlformats.org/officeDocument/2006/relationships/worksheet" Target="worksheets/sheet44.xml"/><Relationship Id="rId49" Type="http://schemas.openxmlformats.org/officeDocument/2006/relationships/worksheet" Target="worksheets/sheet4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31" Type="http://schemas.openxmlformats.org/officeDocument/2006/relationships/worksheet" Target="worksheets/sheet28.xml"/><Relationship Id="rId30" Type="http://schemas.openxmlformats.org/officeDocument/2006/relationships/worksheet" Target="worksheets/sheet27.xml"/><Relationship Id="rId33" Type="http://schemas.openxmlformats.org/officeDocument/2006/relationships/worksheet" Target="worksheets/sheet30.xml"/><Relationship Id="rId32" Type="http://schemas.openxmlformats.org/officeDocument/2006/relationships/worksheet" Target="worksheets/sheet29.xml"/><Relationship Id="rId35" Type="http://schemas.openxmlformats.org/officeDocument/2006/relationships/worksheet" Target="worksheets/sheet32.xml"/><Relationship Id="rId34" Type="http://schemas.openxmlformats.org/officeDocument/2006/relationships/worksheet" Target="worksheets/sheet31.xml"/><Relationship Id="rId37" Type="http://schemas.openxmlformats.org/officeDocument/2006/relationships/worksheet" Target="worksheets/sheet34.xml"/><Relationship Id="rId36" Type="http://schemas.openxmlformats.org/officeDocument/2006/relationships/worksheet" Target="worksheets/sheet33.xml"/><Relationship Id="rId39" Type="http://schemas.openxmlformats.org/officeDocument/2006/relationships/worksheet" Target="worksheets/sheet36.xml"/><Relationship Id="rId38" Type="http://schemas.openxmlformats.org/officeDocument/2006/relationships/worksheet" Target="worksheets/sheet35.xml"/><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29" Type="http://schemas.openxmlformats.org/officeDocument/2006/relationships/worksheet" Target="worksheets/sheet26.xml"/><Relationship Id="rId50" Type="http://customschemas.google.com/relationships/workbookmetadata" Target="metadata"/><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outlineLevelRow="2"/>
  <cols>
    <col customWidth="1" min="1" max="1" width="9.0"/>
    <col customWidth="1" min="2" max="2" width="70.0"/>
    <col customWidth="1" min="3" max="3" width="18.0"/>
    <col customWidth="1" min="4" max="6" width="10.0"/>
    <col customWidth="1" min="7" max="26" width="14.0"/>
  </cols>
  <sheetData>
    <row r="1" ht="39.75" customHeight="1">
      <c r="A1" s="1" t="s">
        <v>0</v>
      </c>
      <c r="C1" s="2"/>
    </row>
    <row r="2" ht="21.0" customHeight="1">
      <c r="A2" s="3" t="s">
        <v>1</v>
      </c>
      <c r="B2" s="4"/>
      <c r="C2" s="5"/>
    </row>
    <row r="3" ht="21.0" customHeight="1">
      <c r="A3" s="3" t="s">
        <v>2</v>
      </c>
      <c r="B3" s="4"/>
      <c r="C3" s="5"/>
    </row>
    <row r="4" ht="15.0" customHeight="1">
      <c r="C4" s="2"/>
    </row>
    <row r="5" ht="21.0" customHeight="1">
      <c r="A5" s="6" t="s">
        <v>3</v>
      </c>
      <c r="B5" s="7" t="s">
        <v>4</v>
      </c>
      <c r="C5" s="7" t="s">
        <v>5</v>
      </c>
    </row>
    <row r="6" ht="21.75" customHeight="1">
      <c r="A6" s="8"/>
      <c r="B6" s="9" t="s">
        <v>6</v>
      </c>
      <c r="C6" s="10"/>
    </row>
    <row r="7" ht="21.75" customHeight="1" outlineLevel="1">
      <c r="A7" s="11"/>
      <c r="B7" s="12" t="s">
        <v>7</v>
      </c>
      <c r="C7" s="13"/>
    </row>
    <row r="8" ht="21.75" customHeight="1" outlineLevel="2">
      <c r="A8" s="14">
        <v>1.0</v>
      </c>
      <c r="B8" s="15" t="s">
        <v>8</v>
      </c>
      <c r="C8" s="16" t="s">
        <v>9</v>
      </c>
    </row>
    <row r="9" ht="21.75" customHeight="1" outlineLevel="2">
      <c r="A9" s="14">
        <v>2.0</v>
      </c>
      <c r="B9" s="15" t="s">
        <v>10</v>
      </c>
      <c r="C9" s="16" t="s">
        <v>11</v>
      </c>
    </row>
    <row r="10" ht="21.75" customHeight="1" outlineLevel="2">
      <c r="A10" s="14">
        <v>3.0</v>
      </c>
      <c r="B10" s="15" t="s">
        <v>12</v>
      </c>
      <c r="C10" s="16" t="s">
        <v>13</v>
      </c>
    </row>
    <row r="11" ht="21.75" customHeight="1" outlineLevel="2">
      <c r="A11" s="14">
        <v>4.0</v>
      </c>
      <c r="B11" s="15" t="s">
        <v>14</v>
      </c>
      <c r="C11" s="16" t="s">
        <v>15</v>
      </c>
    </row>
    <row r="12" ht="21.75" customHeight="1" outlineLevel="2">
      <c r="A12" s="14">
        <v>5.0</v>
      </c>
      <c r="B12" s="15" t="s">
        <v>16</v>
      </c>
      <c r="C12" s="16" t="s">
        <v>17</v>
      </c>
    </row>
    <row r="13" ht="21.75" customHeight="1" outlineLevel="1">
      <c r="A13" s="11"/>
      <c r="B13" s="12" t="s">
        <v>18</v>
      </c>
      <c r="C13" s="13"/>
    </row>
    <row r="14" ht="21.75" customHeight="1" outlineLevel="2">
      <c r="A14" s="14">
        <v>1.0</v>
      </c>
      <c r="B14" s="15" t="s">
        <v>19</v>
      </c>
      <c r="C14" s="16" t="s">
        <v>20</v>
      </c>
    </row>
    <row r="15" ht="21.75" customHeight="1" outlineLevel="2">
      <c r="A15" s="14">
        <v>2.0</v>
      </c>
      <c r="B15" s="15" t="s">
        <v>21</v>
      </c>
      <c r="C15" s="16" t="s">
        <v>22</v>
      </c>
    </row>
    <row r="16" ht="21.75" customHeight="1" outlineLevel="2">
      <c r="A16" s="14">
        <v>3.0</v>
      </c>
      <c r="B16" s="15" t="s">
        <v>23</v>
      </c>
      <c r="C16" s="16" t="s">
        <v>24</v>
      </c>
    </row>
    <row r="17" ht="21.75" customHeight="1" outlineLevel="2">
      <c r="A17" s="14">
        <v>4.0</v>
      </c>
      <c r="B17" s="15" t="s">
        <v>25</v>
      </c>
      <c r="C17" s="16" t="s">
        <v>26</v>
      </c>
    </row>
    <row r="18" ht="21.75" customHeight="1" outlineLevel="2">
      <c r="A18" s="14">
        <v>5.0</v>
      </c>
      <c r="B18" s="15" t="s">
        <v>27</v>
      </c>
      <c r="C18" s="16" t="s">
        <v>28</v>
      </c>
    </row>
    <row r="19" ht="21.75" customHeight="1" outlineLevel="2">
      <c r="A19" s="14">
        <v>6.0</v>
      </c>
      <c r="B19" s="15" t="s">
        <v>29</v>
      </c>
      <c r="C19" s="16" t="s">
        <v>30</v>
      </c>
    </row>
    <row r="20" ht="21.75" customHeight="1" outlineLevel="2">
      <c r="A20" s="14">
        <v>7.0</v>
      </c>
      <c r="B20" s="15" t="s">
        <v>31</v>
      </c>
      <c r="C20" s="16" t="s">
        <v>32</v>
      </c>
    </row>
    <row r="21" ht="21.75" customHeight="1" outlineLevel="2">
      <c r="A21" s="14">
        <v>8.0</v>
      </c>
      <c r="B21" s="15" t="s">
        <v>33</v>
      </c>
      <c r="C21" s="16" t="s">
        <v>34</v>
      </c>
    </row>
    <row r="22" ht="21.75" customHeight="1" outlineLevel="2">
      <c r="A22" s="14">
        <v>9.0</v>
      </c>
      <c r="B22" s="15" t="s">
        <v>35</v>
      </c>
      <c r="C22" s="16" t="s">
        <v>36</v>
      </c>
    </row>
    <row r="23" ht="21.75" customHeight="1">
      <c r="A23" s="8"/>
      <c r="B23" s="17" t="s">
        <v>37</v>
      </c>
      <c r="C23" s="13"/>
    </row>
    <row r="24" ht="21.75" customHeight="1" outlineLevel="1">
      <c r="A24" s="14">
        <v>1.0</v>
      </c>
      <c r="B24" s="15" t="s">
        <v>38</v>
      </c>
      <c r="C24" s="16" t="s">
        <v>39</v>
      </c>
    </row>
    <row r="25" ht="21.75" customHeight="1" outlineLevel="1">
      <c r="A25" s="14">
        <v>2.0</v>
      </c>
      <c r="B25" s="15" t="s">
        <v>40</v>
      </c>
      <c r="C25" s="16" t="s">
        <v>41</v>
      </c>
    </row>
    <row r="26" ht="21.75" customHeight="1" outlineLevel="1">
      <c r="A26" s="14">
        <v>3.0</v>
      </c>
      <c r="B26" s="15" t="s">
        <v>42</v>
      </c>
      <c r="C26" s="16" t="s">
        <v>43</v>
      </c>
    </row>
    <row r="27" ht="21.75" customHeight="1" outlineLevel="1">
      <c r="A27" s="14">
        <v>4.0</v>
      </c>
      <c r="B27" s="15" t="s">
        <v>44</v>
      </c>
      <c r="C27" s="16" t="s">
        <v>45</v>
      </c>
    </row>
    <row r="28" ht="21.75" customHeight="1" outlineLevel="1">
      <c r="A28" s="14">
        <v>5.0</v>
      </c>
      <c r="B28" s="15" t="s">
        <v>46</v>
      </c>
      <c r="C28" s="16" t="s">
        <v>47</v>
      </c>
    </row>
    <row r="29" ht="21.75" customHeight="1">
      <c r="A29" s="8"/>
      <c r="B29" s="17" t="s">
        <v>48</v>
      </c>
      <c r="C29" s="13"/>
    </row>
    <row r="30" ht="21.75" customHeight="1" outlineLevel="1">
      <c r="A30" s="14">
        <v>1.0</v>
      </c>
      <c r="B30" s="15" t="s">
        <v>49</v>
      </c>
      <c r="C30" s="16" t="s">
        <v>50</v>
      </c>
    </row>
    <row r="31" ht="21.75" customHeight="1" outlineLevel="1">
      <c r="A31" s="14">
        <v>2.0</v>
      </c>
      <c r="B31" s="15" t="s">
        <v>51</v>
      </c>
      <c r="C31" s="16" t="s">
        <v>52</v>
      </c>
    </row>
    <row r="32" ht="21.75" customHeight="1" outlineLevel="1">
      <c r="A32" s="14">
        <v>3.0</v>
      </c>
      <c r="B32" s="15" t="s">
        <v>53</v>
      </c>
      <c r="C32" s="16" t="s">
        <v>54</v>
      </c>
    </row>
    <row r="33" ht="21.75" customHeight="1" outlineLevel="1">
      <c r="A33" s="14">
        <v>4.0</v>
      </c>
      <c r="B33" s="15" t="s">
        <v>55</v>
      </c>
      <c r="C33" s="16" t="s">
        <v>56</v>
      </c>
    </row>
    <row r="34" ht="21.75" customHeight="1" outlineLevel="1">
      <c r="A34" s="14">
        <v>5.0</v>
      </c>
      <c r="B34" s="15" t="s">
        <v>57</v>
      </c>
      <c r="C34" s="16" t="s">
        <v>58</v>
      </c>
    </row>
    <row r="35" ht="21.75" customHeight="1" outlineLevel="1">
      <c r="A35" s="14">
        <v>6.0</v>
      </c>
      <c r="B35" s="15" t="s">
        <v>59</v>
      </c>
      <c r="C35" s="16" t="s">
        <v>60</v>
      </c>
    </row>
    <row r="36" ht="21.75" customHeight="1">
      <c r="A36" s="8"/>
      <c r="B36" s="17" t="s">
        <v>61</v>
      </c>
      <c r="C36" s="13"/>
    </row>
    <row r="37" ht="21.75" customHeight="1" outlineLevel="1">
      <c r="A37" s="14">
        <v>1.0</v>
      </c>
      <c r="B37" s="15" t="s">
        <v>62</v>
      </c>
      <c r="C37" s="16" t="s">
        <v>63</v>
      </c>
    </row>
    <row r="38" ht="21.75" customHeight="1" outlineLevel="1">
      <c r="A38" s="14">
        <v>2.0</v>
      </c>
      <c r="B38" s="15" t="s">
        <v>64</v>
      </c>
      <c r="C38" s="16" t="s">
        <v>65</v>
      </c>
    </row>
    <row r="39" ht="21.75" customHeight="1" outlineLevel="1">
      <c r="A39" s="14">
        <v>3.0</v>
      </c>
      <c r="B39" s="15" t="s">
        <v>66</v>
      </c>
      <c r="C39" s="16" t="s">
        <v>67</v>
      </c>
    </row>
    <row r="40" ht="21.75" customHeight="1" outlineLevel="1">
      <c r="A40" s="14">
        <v>4.0</v>
      </c>
      <c r="B40" s="15" t="s">
        <v>68</v>
      </c>
      <c r="C40" s="16" t="s">
        <v>69</v>
      </c>
    </row>
    <row r="41" ht="21.75" customHeight="1" outlineLevel="1">
      <c r="A41" s="14">
        <v>5.0</v>
      </c>
      <c r="B41" s="15" t="s">
        <v>70</v>
      </c>
      <c r="C41" s="16" t="s">
        <v>71</v>
      </c>
    </row>
    <row r="42" ht="21.75" customHeight="1" outlineLevel="1">
      <c r="A42" s="14">
        <v>6.0</v>
      </c>
      <c r="B42" s="15" t="s">
        <v>72</v>
      </c>
      <c r="C42" s="16" t="s">
        <v>73</v>
      </c>
    </row>
    <row r="43" ht="21.75" customHeight="1" outlineLevel="1">
      <c r="A43" s="14">
        <v>7.0</v>
      </c>
      <c r="B43" s="15" t="s">
        <v>74</v>
      </c>
      <c r="C43" s="16" t="s">
        <v>75</v>
      </c>
    </row>
    <row r="44" ht="21.75" customHeight="1" outlineLevel="1">
      <c r="A44" s="14">
        <v>8.0</v>
      </c>
      <c r="B44" s="15" t="s">
        <v>76</v>
      </c>
      <c r="C44" s="16" t="s">
        <v>77</v>
      </c>
    </row>
    <row r="45" ht="21.75" customHeight="1" outlineLevel="1">
      <c r="A45" s="14">
        <v>9.0</v>
      </c>
      <c r="B45" s="15" t="s">
        <v>78</v>
      </c>
      <c r="C45" s="16" t="s">
        <v>79</v>
      </c>
    </row>
    <row r="46" ht="21.75" customHeight="1" outlineLevel="1">
      <c r="A46" s="14">
        <v>10.0</v>
      </c>
      <c r="B46" s="15" t="s">
        <v>80</v>
      </c>
      <c r="C46" s="16" t="s">
        <v>81</v>
      </c>
    </row>
    <row r="47" ht="21.75" customHeight="1" outlineLevel="1">
      <c r="A47" s="14">
        <v>11.0</v>
      </c>
      <c r="B47" s="15" t="s">
        <v>82</v>
      </c>
      <c r="C47" s="16" t="s">
        <v>83</v>
      </c>
    </row>
    <row r="48" ht="21.75" customHeight="1" outlineLevel="1">
      <c r="A48" s="14">
        <v>12.0</v>
      </c>
      <c r="B48" s="15" t="s">
        <v>84</v>
      </c>
      <c r="C48" s="16" t="s">
        <v>85</v>
      </c>
    </row>
    <row r="49" ht="21.75" customHeight="1" outlineLevel="1">
      <c r="A49" s="14">
        <v>13.0</v>
      </c>
      <c r="B49" s="15" t="s">
        <v>86</v>
      </c>
      <c r="C49" s="16" t="s">
        <v>87</v>
      </c>
    </row>
    <row r="50" ht="21.75" customHeight="1" outlineLevel="1">
      <c r="A50" s="14">
        <v>14.0</v>
      </c>
      <c r="B50" s="15" t="s">
        <v>88</v>
      </c>
      <c r="C50" s="16" t="s">
        <v>89</v>
      </c>
    </row>
    <row r="51" ht="21.75" customHeight="1" outlineLevel="1">
      <c r="A51" s="14">
        <v>15.0</v>
      </c>
      <c r="B51" s="15" t="s">
        <v>90</v>
      </c>
      <c r="C51" s="16" t="s">
        <v>91</v>
      </c>
    </row>
    <row r="52" ht="21.75" customHeight="1" outlineLevel="1">
      <c r="A52" s="14">
        <v>16.0</v>
      </c>
      <c r="B52" s="15" t="s">
        <v>92</v>
      </c>
      <c r="C52" s="16" t="s">
        <v>93</v>
      </c>
    </row>
    <row r="53" ht="21.75" customHeight="1" outlineLevel="1">
      <c r="A53" s="14">
        <v>17.0</v>
      </c>
      <c r="B53" s="15" t="s">
        <v>94</v>
      </c>
      <c r="C53" s="16" t="s">
        <v>95</v>
      </c>
    </row>
    <row r="54" ht="21.75" customHeight="1" outlineLevel="1">
      <c r="A54" s="14">
        <v>18.0</v>
      </c>
      <c r="B54" s="15" t="s">
        <v>96</v>
      </c>
      <c r="C54" s="16" t="s">
        <v>97</v>
      </c>
    </row>
    <row r="55" ht="21.75" customHeight="1" outlineLevel="1">
      <c r="A55" s="14">
        <v>19.0</v>
      </c>
      <c r="B55" s="15" t="s">
        <v>98</v>
      </c>
      <c r="C55" s="16" t="s">
        <v>99</v>
      </c>
    </row>
    <row r="56" ht="24.0" customHeight="1" outlineLevel="1">
      <c r="A56" s="14">
        <v>20.0</v>
      </c>
      <c r="B56" s="15" t="s">
        <v>100</v>
      </c>
      <c r="C56" s="18"/>
    </row>
    <row r="57" ht="24.0" customHeight="1" outlineLevel="1">
      <c r="A57" s="14">
        <v>21.0</v>
      </c>
      <c r="B57" s="15" t="s">
        <v>101</v>
      </c>
      <c r="C57" s="18"/>
    </row>
    <row r="58" ht="24.0" customHeight="1" outlineLevel="1">
      <c r="A58" s="14">
        <v>22.0</v>
      </c>
      <c r="B58" s="15" t="s">
        <v>102</v>
      </c>
      <c r="C58" s="18"/>
    </row>
    <row r="59" ht="18.75" customHeight="1">
      <c r="A59" s="8"/>
      <c r="B59" s="17" t="s">
        <v>103</v>
      </c>
      <c r="C59" s="13"/>
    </row>
    <row r="60" ht="18.75" customHeight="1" outlineLevel="1">
      <c r="A60" s="14">
        <v>1.0</v>
      </c>
      <c r="B60" s="15" t="s">
        <v>104</v>
      </c>
      <c r="C60" s="18"/>
    </row>
    <row r="61" ht="24.0" customHeight="1" outlineLevel="1">
      <c r="A61" s="14">
        <v>2.0</v>
      </c>
      <c r="B61" s="15" t="s">
        <v>105</v>
      </c>
      <c r="C61" s="18"/>
    </row>
    <row r="62" ht="18.75" customHeight="1" outlineLevel="1">
      <c r="A62" s="14">
        <v>3.0</v>
      </c>
      <c r="B62" s="15" t="s">
        <v>106</v>
      </c>
      <c r="C62" s="18"/>
    </row>
    <row r="63" ht="18.75" customHeight="1" outlineLevel="1">
      <c r="A63" s="14">
        <v>4.0</v>
      </c>
      <c r="B63" s="15" t="s">
        <v>107</v>
      </c>
      <c r="C63" s="18"/>
    </row>
    <row r="64" ht="18.75" customHeight="1" outlineLevel="1">
      <c r="A64" s="14">
        <v>5.0</v>
      </c>
      <c r="B64" s="15" t="s">
        <v>108</v>
      </c>
      <c r="C64" s="18"/>
    </row>
    <row r="65" ht="18.75" customHeight="1" outlineLevel="1">
      <c r="A65" s="14">
        <v>6.0</v>
      </c>
      <c r="B65" s="15" t="s">
        <v>109</v>
      </c>
      <c r="C65" s="18"/>
    </row>
    <row r="66" ht="18.75" customHeight="1" outlineLevel="1">
      <c r="A66" s="14">
        <v>7.0</v>
      </c>
      <c r="B66" s="15" t="s">
        <v>110</v>
      </c>
      <c r="C66" s="18"/>
    </row>
    <row r="67" ht="18.75" customHeight="1">
      <c r="A67" s="14"/>
      <c r="B67" s="15"/>
      <c r="C67" s="18"/>
    </row>
    <row r="68" ht="18.75" customHeight="1">
      <c r="A68" s="14"/>
      <c r="B68" s="15"/>
      <c r="C68" s="18"/>
    </row>
    <row r="69" ht="18.75" customHeight="1">
      <c r="A69" s="14"/>
      <c r="B69" s="15"/>
      <c r="C69" s="18"/>
    </row>
    <row r="70" ht="18.75" customHeight="1">
      <c r="A70" s="14"/>
      <c r="B70" s="15"/>
      <c r="C70" s="18"/>
    </row>
    <row r="71" ht="18.75" customHeight="1">
      <c r="A71" s="14"/>
      <c r="B71" s="15"/>
      <c r="C71" s="18"/>
    </row>
    <row r="72" ht="18.75" customHeight="1">
      <c r="A72" s="14"/>
      <c r="B72" s="15"/>
      <c r="C72" s="18"/>
    </row>
    <row r="73" ht="18.75" customHeight="1">
      <c r="A73" s="14"/>
      <c r="B73" s="15"/>
      <c r="C73" s="18"/>
    </row>
    <row r="74" ht="18.75" customHeight="1">
      <c r="A74" s="14"/>
      <c r="B74" s="15"/>
      <c r="C74" s="18"/>
    </row>
    <row r="75" ht="18.75" customHeight="1">
      <c r="A75" s="14"/>
      <c r="B75" s="15"/>
      <c r="C75" s="18"/>
    </row>
    <row r="76" ht="18.75" customHeight="1">
      <c r="A76" s="14"/>
      <c r="B76" s="15"/>
      <c r="C76" s="18"/>
    </row>
    <row r="77" ht="18.75" customHeight="1">
      <c r="A77" s="14"/>
      <c r="B77" s="15"/>
      <c r="C77" s="18"/>
    </row>
    <row r="78" ht="18.75" customHeight="1">
      <c r="A78" s="14"/>
      <c r="B78" s="15"/>
      <c r="C78" s="18"/>
    </row>
    <row r="79" ht="18.75" customHeight="1">
      <c r="A79" s="14"/>
      <c r="B79" s="15"/>
      <c r="C79" s="18"/>
    </row>
    <row r="80" ht="18.75" customHeight="1">
      <c r="A80" s="14"/>
      <c r="B80" s="15"/>
      <c r="C80" s="18"/>
    </row>
    <row r="81" ht="18.75" customHeight="1">
      <c r="A81" s="14"/>
      <c r="B81" s="15"/>
      <c r="C81" s="18"/>
    </row>
    <row r="82" ht="18.75" customHeight="1">
      <c r="A82" s="14"/>
      <c r="B82" s="15"/>
      <c r="C82" s="18"/>
    </row>
    <row r="83" ht="18.75" customHeight="1">
      <c r="A83" s="14"/>
      <c r="B83" s="15"/>
      <c r="C83" s="18"/>
    </row>
    <row r="84" ht="18.75" customHeight="1">
      <c r="A84" s="14"/>
      <c r="B84" s="15"/>
      <c r="C84" s="18"/>
    </row>
    <row r="85" ht="18.75" customHeight="1">
      <c r="A85" s="14"/>
      <c r="B85" s="15"/>
      <c r="C85" s="18"/>
    </row>
    <row r="86" ht="18.75" customHeight="1">
      <c r="A86" s="14"/>
      <c r="B86" s="15"/>
      <c r="C86" s="18"/>
    </row>
    <row r="87" ht="18.75" customHeight="1">
      <c r="A87" s="14"/>
      <c r="B87" s="15"/>
      <c r="C87" s="18"/>
    </row>
    <row r="88" ht="18.75" customHeight="1">
      <c r="A88" s="14"/>
      <c r="B88" s="15"/>
      <c r="C88" s="18"/>
    </row>
    <row r="89" ht="18.75" customHeight="1">
      <c r="A89" s="14"/>
      <c r="B89" s="15"/>
      <c r="C89" s="18"/>
    </row>
    <row r="90" ht="18.75" customHeight="1">
      <c r="A90" s="14"/>
      <c r="B90" s="15"/>
      <c r="C90" s="18"/>
    </row>
    <row r="91" ht="18.75" customHeight="1">
      <c r="A91" s="14"/>
      <c r="B91" s="15"/>
      <c r="C91" s="18"/>
    </row>
    <row r="92" ht="18.75" customHeight="1">
      <c r="A92" s="14"/>
      <c r="B92" s="15"/>
      <c r="C92" s="18"/>
    </row>
    <row r="93" ht="18.75" customHeight="1">
      <c r="A93" s="14"/>
      <c r="B93" s="15"/>
      <c r="C93" s="18"/>
    </row>
    <row r="94" ht="18.75" customHeight="1">
      <c r="A94" s="14"/>
      <c r="B94" s="15"/>
      <c r="C94" s="18"/>
    </row>
    <row r="95" ht="18.75" customHeight="1">
      <c r="A95" s="14"/>
      <c r="B95" s="15"/>
      <c r="C95" s="18"/>
    </row>
    <row r="96" ht="18.75" customHeight="1">
      <c r="A96" s="14"/>
      <c r="B96" s="15"/>
      <c r="C96" s="18"/>
    </row>
    <row r="97" ht="18.75" customHeight="1">
      <c r="A97" s="14"/>
      <c r="B97" s="15"/>
      <c r="C97" s="18"/>
    </row>
    <row r="98" ht="18.75" customHeight="1">
      <c r="A98" s="14"/>
      <c r="B98" s="15"/>
      <c r="C98" s="18"/>
    </row>
    <row r="99" ht="18.75" customHeight="1">
      <c r="A99" s="14"/>
      <c r="B99" s="15"/>
      <c r="C99" s="18"/>
    </row>
    <row r="100" ht="18.75" customHeight="1">
      <c r="A100" s="14"/>
      <c r="B100" s="15"/>
      <c r="C100" s="18"/>
    </row>
    <row r="101" ht="18.75" customHeight="1">
      <c r="A101" s="14"/>
      <c r="B101" s="15"/>
      <c r="C101" s="18"/>
    </row>
    <row r="102" ht="18.75" customHeight="1">
      <c r="A102" s="14"/>
      <c r="B102" s="15"/>
      <c r="C102" s="18"/>
    </row>
    <row r="103" ht="18.75" customHeight="1">
      <c r="A103" s="14"/>
      <c r="B103" s="15"/>
      <c r="C103" s="18"/>
    </row>
    <row r="104" ht="18.75" customHeight="1">
      <c r="A104" s="14"/>
      <c r="B104" s="15"/>
      <c r="C104" s="18"/>
    </row>
    <row r="105" ht="18.75" customHeight="1">
      <c r="A105" s="14"/>
      <c r="B105" s="15"/>
      <c r="C105" s="18"/>
    </row>
    <row r="106" ht="18.75" customHeight="1">
      <c r="A106" s="14"/>
      <c r="B106" s="15"/>
      <c r="C106" s="18"/>
    </row>
    <row r="107" ht="18.75" customHeight="1">
      <c r="A107" s="14"/>
      <c r="B107" s="15"/>
      <c r="C107" s="18"/>
    </row>
    <row r="108" ht="18.75" customHeight="1">
      <c r="A108" s="14"/>
      <c r="B108" s="15"/>
      <c r="C108" s="18"/>
    </row>
    <row r="109" ht="18.75" customHeight="1">
      <c r="A109" s="14"/>
      <c r="B109" s="15"/>
      <c r="C109" s="18"/>
    </row>
    <row r="110" ht="18.75" customHeight="1">
      <c r="A110" s="14"/>
      <c r="B110" s="15"/>
      <c r="C110" s="18"/>
    </row>
    <row r="111" ht="18.75" customHeight="1">
      <c r="A111" s="14"/>
      <c r="B111" s="15"/>
      <c r="C111" s="18"/>
    </row>
    <row r="112" ht="18.75" customHeight="1">
      <c r="A112" s="14"/>
      <c r="B112" s="15"/>
      <c r="C112" s="18"/>
    </row>
    <row r="113" ht="18.75" customHeight="1">
      <c r="A113" s="14"/>
      <c r="B113" s="15"/>
      <c r="C113" s="18"/>
    </row>
    <row r="114" ht="18.75" customHeight="1">
      <c r="A114" s="14"/>
      <c r="B114" s="15"/>
      <c r="C114" s="18"/>
    </row>
    <row r="115" ht="18.75" customHeight="1">
      <c r="A115" s="14"/>
      <c r="B115" s="15"/>
      <c r="C115" s="18"/>
    </row>
    <row r="116" ht="18.75" customHeight="1">
      <c r="A116" s="14"/>
      <c r="B116" s="15"/>
      <c r="C116" s="18"/>
    </row>
    <row r="117" ht="18.75" customHeight="1">
      <c r="A117" s="14"/>
      <c r="B117" s="15"/>
      <c r="C117" s="18"/>
    </row>
    <row r="118" ht="18.75" customHeight="1">
      <c r="A118" s="14"/>
      <c r="B118" s="15"/>
      <c r="C118" s="18"/>
    </row>
    <row r="119" ht="18.75" customHeight="1">
      <c r="A119" s="14"/>
      <c r="B119" s="15"/>
      <c r="C119" s="18"/>
    </row>
    <row r="120" ht="18.75" customHeight="1">
      <c r="A120" s="14"/>
      <c r="B120" s="15"/>
      <c r="C120" s="18"/>
    </row>
    <row r="121" ht="18.75" customHeight="1">
      <c r="A121" s="14"/>
      <c r="B121" s="15"/>
      <c r="C121" s="18"/>
    </row>
    <row r="122" ht="18.75" customHeight="1">
      <c r="A122" s="14"/>
      <c r="B122" s="15"/>
      <c r="C122" s="18"/>
    </row>
    <row r="123" ht="18.75" customHeight="1">
      <c r="A123" s="14"/>
      <c r="B123" s="15"/>
      <c r="C123" s="18"/>
    </row>
    <row r="124" ht="18.75" customHeight="1">
      <c r="A124" s="14"/>
      <c r="B124" s="15"/>
      <c r="C124" s="18"/>
    </row>
    <row r="125" ht="18.75" customHeight="1">
      <c r="A125" s="14"/>
      <c r="B125" s="15"/>
      <c r="C125" s="18"/>
    </row>
    <row r="126" ht="18.75" customHeight="1">
      <c r="A126" s="14"/>
      <c r="B126" s="15"/>
      <c r="C126" s="18"/>
    </row>
    <row r="127" ht="18.75" customHeight="1">
      <c r="A127" s="14"/>
      <c r="B127" s="15"/>
      <c r="C127" s="18"/>
    </row>
    <row r="128" ht="18.75" customHeight="1">
      <c r="A128" s="14"/>
      <c r="B128" s="15"/>
      <c r="C128" s="18"/>
    </row>
    <row r="129" ht="18.75" customHeight="1">
      <c r="A129" s="14"/>
      <c r="B129" s="15"/>
      <c r="C129" s="18"/>
    </row>
    <row r="130" ht="18.75" customHeight="1">
      <c r="A130" s="14"/>
      <c r="B130" s="15"/>
      <c r="C130" s="18"/>
    </row>
    <row r="131" ht="18.75" customHeight="1">
      <c r="A131" s="14"/>
      <c r="B131" s="15"/>
      <c r="C131" s="18"/>
    </row>
    <row r="132" ht="18.75" customHeight="1">
      <c r="A132" s="14"/>
      <c r="B132" s="15"/>
      <c r="C132" s="18"/>
    </row>
    <row r="133" ht="18.75" customHeight="1">
      <c r="A133" s="14"/>
      <c r="B133" s="15"/>
      <c r="C133" s="18"/>
    </row>
    <row r="134" ht="18.75" customHeight="1">
      <c r="A134" s="14"/>
      <c r="B134" s="15"/>
      <c r="C134" s="18"/>
    </row>
    <row r="135" ht="18.75" customHeight="1">
      <c r="A135" s="14"/>
      <c r="B135" s="15"/>
      <c r="C135" s="18"/>
    </row>
    <row r="136" ht="18.75" customHeight="1">
      <c r="A136" s="14"/>
      <c r="B136" s="15"/>
      <c r="C136" s="18"/>
    </row>
    <row r="137" ht="18.75" customHeight="1">
      <c r="A137" s="14"/>
      <c r="B137" s="15"/>
      <c r="C137" s="18"/>
    </row>
    <row r="138" ht="18.75" customHeight="1">
      <c r="A138" s="14"/>
      <c r="B138" s="15"/>
      <c r="C138" s="18"/>
    </row>
    <row r="139" ht="18.75" customHeight="1">
      <c r="A139" s="14"/>
      <c r="B139" s="15"/>
      <c r="C139" s="18"/>
    </row>
    <row r="140" ht="18.75" customHeight="1">
      <c r="A140" s="14"/>
      <c r="B140" s="15"/>
      <c r="C140" s="18"/>
    </row>
    <row r="141" ht="18.75" customHeight="1">
      <c r="A141" s="14"/>
      <c r="B141" s="15"/>
      <c r="C141" s="18"/>
    </row>
    <row r="142" ht="18.75" customHeight="1">
      <c r="A142" s="14"/>
      <c r="B142" s="15"/>
      <c r="C142" s="18"/>
    </row>
    <row r="143" ht="18.75" customHeight="1">
      <c r="A143" s="14"/>
      <c r="B143" s="15"/>
      <c r="C143" s="18"/>
    </row>
    <row r="144" ht="18.75" customHeight="1">
      <c r="A144" s="14"/>
      <c r="B144" s="15"/>
      <c r="C144" s="18"/>
    </row>
    <row r="145" ht="18.75" customHeight="1">
      <c r="A145" s="14"/>
      <c r="B145" s="15"/>
      <c r="C145" s="18"/>
    </row>
    <row r="146" ht="18.75" customHeight="1">
      <c r="A146" s="14"/>
      <c r="B146" s="15"/>
      <c r="C146" s="18"/>
    </row>
    <row r="147" ht="18.75" customHeight="1">
      <c r="A147" s="14"/>
      <c r="B147" s="15"/>
      <c r="C147" s="18"/>
    </row>
    <row r="148" ht="18.75" customHeight="1">
      <c r="A148" s="14"/>
      <c r="B148" s="15"/>
      <c r="C148" s="18"/>
    </row>
    <row r="149" ht="18.75" customHeight="1">
      <c r="A149" s="14"/>
      <c r="B149" s="15"/>
      <c r="C149" s="18"/>
    </row>
    <row r="150" ht="18.75" customHeight="1">
      <c r="A150" s="14"/>
      <c r="B150" s="15"/>
      <c r="C150" s="18"/>
    </row>
    <row r="151" ht="18.75" customHeight="1">
      <c r="A151" s="14"/>
      <c r="B151" s="15"/>
      <c r="C151" s="18"/>
    </row>
    <row r="152" ht="18.75" customHeight="1">
      <c r="A152" s="14"/>
      <c r="B152" s="15"/>
      <c r="C152" s="18"/>
    </row>
    <row r="153" ht="18.75" customHeight="1">
      <c r="A153" s="14"/>
      <c r="B153" s="15"/>
      <c r="C153" s="18"/>
    </row>
    <row r="154" ht="18.75" customHeight="1">
      <c r="A154" s="14"/>
      <c r="B154" s="15"/>
      <c r="C154" s="18"/>
    </row>
    <row r="155" ht="18.75" customHeight="1">
      <c r="A155" s="14"/>
      <c r="B155" s="15"/>
      <c r="C155" s="18"/>
    </row>
    <row r="156" ht="18.75" customHeight="1">
      <c r="A156" s="14"/>
      <c r="B156" s="15"/>
      <c r="C156" s="18"/>
    </row>
    <row r="157" ht="18.75" customHeight="1">
      <c r="A157" s="14"/>
      <c r="B157" s="15"/>
      <c r="C157" s="18"/>
    </row>
    <row r="158" ht="18.75" customHeight="1">
      <c r="A158" s="14"/>
      <c r="B158" s="15"/>
      <c r="C158" s="18"/>
    </row>
    <row r="159" ht="18.75" customHeight="1">
      <c r="A159" s="14"/>
      <c r="B159" s="15"/>
      <c r="C159" s="18"/>
    </row>
    <row r="160" ht="18.75" customHeight="1">
      <c r="A160" s="14"/>
      <c r="B160" s="15"/>
      <c r="C160" s="18"/>
    </row>
    <row r="161" ht="18.75" customHeight="1">
      <c r="A161" s="14"/>
      <c r="B161" s="15"/>
      <c r="C161" s="18"/>
    </row>
    <row r="162" ht="18.75" customHeight="1">
      <c r="A162" s="14"/>
      <c r="B162" s="15"/>
      <c r="C162" s="18"/>
    </row>
    <row r="163" ht="18.75" customHeight="1">
      <c r="A163" s="14"/>
      <c r="B163" s="15"/>
      <c r="C163" s="18"/>
    </row>
    <row r="164" ht="18.75" customHeight="1">
      <c r="A164" s="14"/>
      <c r="B164" s="15"/>
      <c r="C164" s="18"/>
    </row>
    <row r="165" ht="18.75" customHeight="1">
      <c r="A165" s="14"/>
      <c r="B165" s="15"/>
      <c r="C165" s="18"/>
    </row>
    <row r="166" ht="18.75" customHeight="1">
      <c r="A166" s="14"/>
      <c r="B166" s="15"/>
      <c r="C166" s="18"/>
    </row>
    <row r="167" ht="18.75" customHeight="1">
      <c r="A167" s="14"/>
      <c r="B167" s="15"/>
      <c r="C167" s="18"/>
    </row>
    <row r="168" ht="18.75" customHeight="1">
      <c r="A168" s="14"/>
      <c r="B168" s="15"/>
      <c r="C168" s="18"/>
    </row>
    <row r="169" ht="18.75" customHeight="1">
      <c r="A169" s="14"/>
      <c r="B169" s="15"/>
      <c r="C169" s="18"/>
    </row>
    <row r="170" ht="18.75" customHeight="1">
      <c r="A170" s="14"/>
      <c r="B170" s="15"/>
      <c r="C170" s="18"/>
    </row>
    <row r="171" ht="18.75" customHeight="1">
      <c r="A171" s="14"/>
      <c r="B171" s="15"/>
      <c r="C171" s="18"/>
    </row>
    <row r="172" ht="18.75" customHeight="1">
      <c r="A172" s="14"/>
      <c r="B172" s="15"/>
      <c r="C172" s="18"/>
    </row>
    <row r="173" ht="18.75" customHeight="1">
      <c r="A173" s="14"/>
      <c r="B173" s="15"/>
      <c r="C173" s="18"/>
    </row>
    <row r="174" ht="18.75" customHeight="1">
      <c r="A174" s="14"/>
      <c r="B174" s="15"/>
      <c r="C174" s="18"/>
    </row>
    <row r="175" ht="18.75" customHeight="1">
      <c r="A175" s="14"/>
      <c r="B175" s="15"/>
      <c r="C175" s="18"/>
    </row>
    <row r="176" ht="18.75" customHeight="1">
      <c r="A176" s="14"/>
      <c r="B176" s="15"/>
      <c r="C176" s="18"/>
    </row>
    <row r="177" ht="18.75" customHeight="1">
      <c r="A177" s="14"/>
      <c r="B177" s="15"/>
      <c r="C177" s="18"/>
    </row>
    <row r="178" ht="18.75" customHeight="1">
      <c r="A178" s="14"/>
      <c r="B178" s="15"/>
      <c r="C178" s="18"/>
    </row>
    <row r="179" ht="18.75" customHeight="1">
      <c r="A179" s="14"/>
      <c r="B179" s="15"/>
      <c r="C179" s="18"/>
    </row>
    <row r="180" ht="18.75" customHeight="1">
      <c r="A180" s="14"/>
      <c r="B180" s="15"/>
      <c r="C180" s="18"/>
    </row>
    <row r="181" ht="18.75" customHeight="1">
      <c r="A181" s="14"/>
      <c r="B181" s="15"/>
      <c r="C181" s="18"/>
    </row>
    <row r="182" ht="18.75" customHeight="1">
      <c r="A182" s="14"/>
      <c r="B182" s="15"/>
      <c r="C182" s="18"/>
    </row>
    <row r="183" ht="18.75" customHeight="1">
      <c r="A183" s="14"/>
      <c r="B183" s="15"/>
      <c r="C183" s="18"/>
    </row>
    <row r="184" ht="18.75" customHeight="1">
      <c r="A184" s="14"/>
      <c r="B184" s="15"/>
      <c r="C184" s="18"/>
    </row>
    <row r="185" ht="18.75" customHeight="1">
      <c r="A185" s="14"/>
      <c r="B185" s="15"/>
      <c r="C185" s="18"/>
    </row>
    <row r="186" ht="18.75" customHeight="1">
      <c r="A186" s="14"/>
      <c r="B186" s="15"/>
      <c r="C186" s="18"/>
    </row>
    <row r="187" ht="18.75" customHeight="1">
      <c r="A187" s="14"/>
      <c r="B187" s="15"/>
      <c r="C187" s="18"/>
    </row>
    <row r="188" ht="18.75" customHeight="1">
      <c r="A188" s="14"/>
      <c r="B188" s="15"/>
      <c r="C188" s="18"/>
    </row>
    <row r="189" ht="18.75" customHeight="1">
      <c r="A189" s="14"/>
      <c r="B189" s="15"/>
      <c r="C189" s="18"/>
    </row>
    <row r="190" ht="18.75" customHeight="1">
      <c r="A190" s="14"/>
      <c r="B190" s="15"/>
      <c r="C190" s="18"/>
    </row>
    <row r="191" ht="18.75" customHeight="1">
      <c r="A191" s="14"/>
      <c r="B191" s="15"/>
      <c r="C191" s="18"/>
    </row>
    <row r="192" ht="18.75" customHeight="1">
      <c r="A192" s="14"/>
      <c r="B192" s="15"/>
      <c r="C192" s="18"/>
    </row>
    <row r="193" ht="18.75" customHeight="1">
      <c r="A193" s="14"/>
      <c r="B193" s="15"/>
      <c r="C193" s="18"/>
    </row>
    <row r="194" ht="18.75" customHeight="1">
      <c r="A194" s="14"/>
      <c r="B194" s="15"/>
      <c r="C194" s="18"/>
    </row>
    <row r="195" ht="18.75" customHeight="1">
      <c r="A195" s="14"/>
      <c r="B195" s="15"/>
      <c r="C195" s="18"/>
    </row>
    <row r="196" ht="18.75" customHeight="1">
      <c r="A196" s="14"/>
      <c r="B196" s="15"/>
      <c r="C196" s="18"/>
    </row>
    <row r="197" ht="18.75" customHeight="1">
      <c r="A197" s="14"/>
      <c r="B197" s="15"/>
      <c r="C197" s="18"/>
    </row>
    <row r="198" ht="18.75" customHeight="1">
      <c r="A198" s="14"/>
      <c r="B198" s="15"/>
      <c r="C198" s="18"/>
    </row>
    <row r="199" ht="18.75" customHeight="1">
      <c r="A199" s="14"/>
      <c r="B199" s="15"/>
      <c r="C199" s="18"/>
    </row>
    <row r="200" ht="18.75" customHeight="1">
      <c r="A200" s="14"/>
      <c r="B200" s="15"/>
      <c r="C200" s="18"/>
    </row>
    <row r="201" ht="18.75" customHeight="1">
      <c r="A201" s="14"/>
      <c r="B201" s="15"/>
      <c r="C201" s="18"/>
    </row>
    <row r="202" ht="18.75" customHeight="1">
      <c r="A202" s="14"/>
      <c r="B202" s="15"/>
      <c r="C202" s="18"/>
    </row>
    <row r="203" ht="18.75" customHeight="1">
      <c r="A203" s="14"/>
      <c r="B203" s="15"/>
      <c r="C203" s="18"/>
    </row>
    <row r="204" ht="18.75" customHeight="1">
      <c r="A204" s="14"/>
      <c r="B204" s="15"/>
      <c r="C204" s="18"/>
    </row>
    <row r="205" ht="18.75" customHeight="1">
      <c r="A205" s="14"/>
      <c r="B205" s="15"/>
      <c r="C205" s="18"/>
    </row>
    <row r="206" ht="18.75" customHeight="1">
      <c r="A206" s="14"/>
      <c r="B206" s="15"/>
      <c r="C206" s="18"/>
    </row>
    <row r="207" ht="18.75" customHeight="1">
      <c r="A207" s="14"/>
      <c r="B207" s="15"/>
      <c r="C207" s="18"/>
    </row>
    <row r="208" ht="18.75" customHeight="1">
      <c r="A208" s="14"/>
      <c r="B208" s="15"/>
      <c r="C208" s="18"/>
    </row>
    <row r="209" ht="18.75" customHeight="1">
      <c r="A209" s="14"/>
      <c r="B209" s="15"/>
      <c r="C209" s="18"/>
    </row>
    <row r="210" ht="18.75" customHeight="1">
      <c r="A210" s="14"/>
      <c r="B210" s="15"/>
      <c r="C210" s="18"/>
    </row>
    <row r="211" ht="18.75" customHeight="1">
      <c r="A211" s="14"/>
      <c r="B211" s="15"/>
      <c r="C211" s="18"/>
    </row>
    <row r="212" ht="18.75" customHeight="1">
      <c r="A212" s="14"/>
      <c r="B212" s="15"/>
      <c r="C212" s="18"/>
    </row>
    <row r="213" ht="18.75" customHeight="1">
      <c r="A213" s="14"/>
      <c r="B213" s="15"/>
      <c r="C213" s="18"/>
    </row>
    <row r="214" ht="18.75" customHeight="1">
      <c r="A214" s="14"/>
      <c r="B214" s="15"/>
      <c r="C214" s="18"/>
    </row>
    <row r="215" ht="18.75" customHeight="1">
      <c r="A215" s="14"/>
      <c r="B215" s="15"/>
      <c r="C215" s="18"/>
    </row>
    <row r="216" ht="18.75" customHeight="1">
      <c r="A216" s="14"/>
      <c r="B216" s="15"/>
      <c r="C216" s="18"/>
    </row>
    <row r="217" ht="18.75" customHeight="1">
      <c r="A217" s="14"/>
      <c r="B217" s="15"/>
      <c r="C217" s="18"/>
    </row>
    <row r="218" ht="18.75" customHeight="1">
      <c r="A218" s="14"/>
      <c r="B218" s="15"/>
      <c r="C218" s="18"/>
    </row>
    <row r="219" ht="18.75" customHeight="1">
      <c r="A219" s="14"/>
      <c r="B219" s="15"/>
      <c r="C219" s="18"/>
    </row>
    <row r="220" ht="18.75" customHeight="1">
      <c r="A220" s="14"/>
      <c r="B220" s="15"/>
      <c r="C220" s="18"/>
    </row>
    <row r="221" ht="18.75" customHeight="1">
      <c r="A221" s="14"/>
      <c r="B221" s="15"/>
      <c r="C221" s="18"/>
    </row>
    <row r="222" ht="18.75" customHeight="1">
      <c r="A222" s="14"/>
      <c r="B222" s="15"/>
      <c r="C222" s="18"/>
    </row>
    <row r="223" ht="18.75" customHeight="1">
      <c r="A223" s="14"/>
      <c r="B223" s="15"/>
      <c r="C223" s="18"/>
    </row>
    <row r="224" ht="18.75" customHeight="1">
      <c r="A224" s="14"/>
      <c r="B224" s="15"/>
      <c r="C224" s="18"/>
    </row>
    <row r="225" ht="18.75" customHeight="1">
      <c r="A225" s="14"/>
      <c r="B225" s="15"/>
      <c r="C225" s="18"/>
    </row>
    <row r="226" ht="18.75" customHeight="1">
      <c r="A226" s="14"/>
      <c r="B226" s="15"/>
      <c r="C226" s="18"/>
    </row>
    <row r="227" ht="18.75" customHeight="1">
      <c r="A227" s="14"/>
      <c r="B227" s="15"/>
      <c r="C227" s="18"/>
    </row>
    <row r="228" ht="18.75" customHeight="1">
      <c r="A228" s="14"/>
      <c r="B228" s="15"/>
      <c r="C228" s="18"/>
    </row>
    <row r="229" ht="18.75" customHeight="1">
      <c r="A229" s="14"/>
      <c r="B229" s="15"/>
      <c r="C229" s="18"/>
    </row>
    <row r="230" ht="18.75" customHeight="1">
      <c r="A230" s="14"/>
      <c r="B230" s="15"/>
      <c r="C230" s="18"/>
    </row>
    <row r="231" ht="18.75" customHeight="1">
      <c r="A231" s="14"/>
      <c r="B231" s="15"/>
      <c r="C231" s="18"/>
    </row>
    <row r="232" ht="18.75" customHeight="1">
      <c r="A232" s="14"/>
      <c r="B232" s="15"/>
      <c r="C232" s="18"/>
    </row>
    <row r="233" ht="18.75" customHeight="1">
      <c r="A233" s="14"/>
      <c r="B233" s="15"/>
      <c r="C233" s="18"/>
    </row>
    <row r="234" ht="18.75" customHeight="1">
      <c r="A234" s="14"/>
      <c r="B234" s="15"/>
      <c r="C234" s="18"/>
    </row>
    <row r="235" ht="18.75" customHeight="1">
      <c r="A235" s="14"/>
      <c r="B235" s="15"/>
      <c r="C235" s="18"/>
    </row>
    <row r="236" ht="18.75" customHeight="1">
      <c r="A236" s="14"/>
      <c r="B236" s="15"/>
      <c r="C236" s="18"/>
    </row>
    <row r="237" ht="18.75" customHeight="1">
      <c r="A237" s="14"/>
      <c r="B237" s="15"/>
      <c r="C237" s="18"/>
    </row>
    <row r="238" ht="18.75" customHeight="1">
      <c r="A238" s="14"/>
      <c r="B238" s="15"/>
      <c r="C238" s="18"/>
    </row>
    <row r="239" ht="18.75" customHeight="1">
      <c r="A239" s="14"/>
      <c r="B239" s="15"/>
      <c r="C239" s="18"/>
    </row>
    <row r="240" ht="18.75" customHeight="1">
      <c r="A240" s="14"/>
      <c r="B240" s="15"/>
      <c r="C240" s="18"/>
    </row>
    <row r="241" ht="18.75" customHeight="1">
      <c r="A241" s="14"/>
      <c r="B241" s="15"/>
      <c r="C241" s="18"/>
    </row>
    <row r="242" ht="18.75" customHeight="1">
      <c r="A242" s="14"/>
      <c r="B242" s="15"/>
      <c r="C242" s="18"/>
    </row>
    <row r="243" ht="18.75" customHeight="1">
      <c r="A243" s="14"/>
      <c r="B243" s="15"/>
      <c r="C243" s="18"/>
    </row>
    <row r="244" ht="18.75" customHeight="1">
      <c r="A244" s="14"/>
      <c r="B244" s="15"/>
      <c r="C244" s="18"/>
    </row>
    <row r="245" ht="18.75" customHeight="1">
      <c r="A245" s="14"/>
      <c r="B245" s="15"/>
      <c r="C245" s="18"/>
    </row>
    <row r="246" ht="18.75" customHeight="1">
      <c r="A246" s="14"/>
      <c r="B246" s="15"/>
      <c r="C246" s="18"/>
    </row>
    <row r="247" ht="18.75" customHeight="1">
      <c r="A247" s="14"/>
      <c r="B247" s="15"/>
      <c r="C247" s="18"/>
    </row>
    <row r="248" ht="18.75" customHeight="1">
      <c r="A248" s="14"/>
      <c r="B248" s="15"/>
      <c r="C248" s="18"/>
    </row>
    <row r="249" ht="18.75" customHeight="1">
      <c r="A249" s="14"/>
      <c r="B249" s="15"/>
      <c r="C249" s="18"/>
    </row>
    <row r="250" ht="18.75" customHeight="1">
      <c r="A250" s="14"/>
      <c r="B250" s="15"/>
      <c r="C250" s="18"/>
    </row>
    <row r="251" ht="18.75" customHeight="1">
      <c r="A251" s="14"/>
      <c r="B251" s="15"/>
      <c r="C251" s="18"/>
    </row>
    <row r="252" ht="18.75" customHeight="1">
      <c r="A252" s="14"/>
      <c r="B252" s="15"/>
      <c r="C252" s="18"/>
    </row>
    <row r="253" ht="18.75" customHeight="1">
      <c r="A253" s="14"/>
      <c r="B253" s="15"/>
      <c r="C253" s="18"/>
    </row>
    <row r="254" ht="18.75" customHeight="1">
      <c r="A254" s="14"/>
      <c r="B254" s="15"/>
      <c r="C254" s="18"/>
    </row>
    <row r="255" ht="18.75" customHeight="1">
      <c r="A255" s="14"/>
      <c r="B255" s="15"/>
      <c r="C255" s="18"/>
    </row>
    <row r="256" ht="18.75" customHeight="1">
      <c r="A256" s="14"/>
      <c r="B256" s="15"/>
      <c r="C256" s="18"/>
    </row>
    <row r="257" ht="18.75" customHeight="1">
      <c r="A257" s="14"/>
      <c r="B257" s="15"/>
      <c r="C257" s="18"/>
    </row>
    <row r="258" ht="18.75" customHeight="1">
      <c r="A258" s="14"/>
      <c r="B258" s="15"/>
      <c r="C258" s="18"/>
    </row>
    <row r="259" ht="18.75" customHeight="1">
      <c r="A259" s="14"/>
      <c r="B259" s="15"/>
      <c r="C259" s="18"/>
    </row>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mergeCells count="1">
    <mergeCell ref="A1:B1"/>
  </mergeCells>
  <hyperlinks>
    <hyperlink display="BM1  " location="'BM1  '!A1" ref="C8"/>
    <hyperlink display="BM2 " location="'BM2 '!A1" ref="C9"/>
    <hyperlink display="BM3 " location="'BM3 '!A1" ref="C10"/>
    <hyperlink display="BM4 " location="'BM4 '!A1" ref="C11"/>
    <hyperlink display="BM5 " location="'BM5 '!A1" ref="C12"/>
    <hyperlink display="BM06 " location="'BM06 '!A1" ref="C14"/>
    <hyperlink display="BM07 " location="'BM07 '!A1" ref="C15"/>
    <hyperlink display="BM08  " location="'BM08  '!A1" ref="C16"/>
    <hyperlink display="BM09 " location="'BM09 '!A1" ref="C17"/>
    <hyperlink display="BM10 " location="'BM10 '!A1" ref="C18"/>
    <hyperlink display="BM11 " location="'BM11 '!A1" ref="C19"/>
    <hyperlink display="BM12 " location="'BM12 '!A1" ref="C20"/>
    <hyperlink display="BM13 " location="'BM13 '!A1" ref="C21"/>
    <hyperlink display="BM14" location="'BM14'!A1" ref="C22"/>
    <hyperlink display="BM15" location="'BM15'!A1" ref="C24"/>
    <hyperlink display="BM16" location="'BM16'!A1" ref="C25"/>
    <hyperlink display="BM17" location="'BM17'!A1" ref="C26"/>
    <hyperlink display="BM18" location="'BM18'!A1" ref="C27"/>
    <hyperlink display="BM19" location="'BM19'!A1" ref="C28"/>
    <hyperlink display="BM20" location="'BM20'!A1" ref="C30"/>
    <hyperlink display="BM21" location="'BM21'!A1" ref="C31"/>
    <hyperlink display="BM22" location="'BM22'!A1" ref="C32"/>
    <hyperlink display="BM23" location="'BM23'!A1" ref="C33"/>
    <hyperlink display="BM24" location="'BM24'!A1" ref="C34"/>
    <hyperlink display="BM25" location="'BM25'!A1" ref="C35"/>
    <hyperlink display="BM26" location="'BM26'!A1" ref="C37"/>
    <hyperlink display="BM27" location="'BM27'!A1" ref="C38"/>
    <hyperlink display="BM28" location="'BM28'!A1" ref="C39"/>
    <hyperlink display="BM29" location="'BM29'!A1" ref="C40"/>
    <hyperlink display="BM30" location="'BM30'!A1" ref="C41"/>
    <hyperlink display="BM31" location="'BM31'!A1" ref="C42"/>
    <hyperlink display="BM32" location="'BM32'!A1" ref="C43"/>
    <hyperlink display="BM33" location="'BM33'!A1" ref="C44"/>
    <hyperlink display="BM34" location="'BM34'!A1" ref="C45"/>
    <hyperlink display="BM35" location="'BM35'!A1" ref="C46"/>
    <hyperlink display="BM36" location="'BM36'!A1" ref="C47"/>
    <hyperlink display="BM37" location="'BM37'!A1" ref="C48"/>
    <hyperlink display="BM38" location="'BM38'!A1" ref="C49"/>
    <hyperlink display="BM39" location="'BM39'!A1" ref="C50"/>
    <hyperlink display="BM40" location="'BM40'!A1" ref="C51"/>
    <hyperlink display="BM41" location="'BM41'!A1" ref="C52"/>
    <hyperlink display="BM42" location="'BM42'!A1" ref="C53"/>
    <hyperlink display="BM43" location="'BM43'!A1" ref="C54"/>
    <hyperlink display="BM44" location="'BM44'!A1" ref="C55"/>
  </hyperlin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5.0"/>
    <col customWidth="1" min="2" max="2" width="14.0"/>
    <col customWidth="1" min="3" max="3" width="48.0"/>
    <col customWidth="1" min="4" max="4" width="20.0"/>
    <col customWidth="1" min="5" max="5" width="23.0"/>
    <col customWidth="1" min="6" max="7" width="9.0"/>
    <col customWidth="1" min="8" max="8" width="21.0"/>
    <col customWidth="1" min="9" max="9" width="35.0"/>
    <col customWidth="1" min="10" max="26" width="14.0"/>
  </cols>
  <sheetData>
    <row r="1" ht="21.75" customHeight="1">
      <c r="A1" s="19"/>
      <c r="B1" s="19"/>
      <c r="C1" s="20"/>
      <c r="D1" s="21"/>
      <c r="E1" s="21"/>
      <c r="F1" s="22"/>
      <c r="G1" s="21"/>
      <c r="H1" s="22"/>
    </row>
    <row r="2" ht="45.75" customHeight="1">
      <c r="A2" s="23" t="s">
        <v>111</v>
      </c>
      <c r="B2" s="24"/>
      <c r="C2" s="25"/>
      <c r="E2" s="26" t="s">
        <v>112</v>
      </c>
    </row>
    <row r="3" ht="21.0" customHeight="1">
      <c r="A3" s="1"/>
      <c r="E3" s="1" t="s">
        <v>113</v>
      </c>
    </row>
    <row r="4" ht="21.0" customHeight="1">
      <c r="E4" s="26" t="s">
        <v>114</v>
      </c>
    </row>
    <row r="5" ht="21.75" customHeight="1">
      <c r="A5" s="27" t="s">
        <v>115</v>
      </c>
      <c r="I5" s="28" t="s">
        <v>116</v>
      </c>
    </row>
    <row r="6" ht="21.75" customHeight="1">
      <c r="A6" s="29" t="s">
        <v>117</v>
      </c>
      <c r="B6" s="30"/>
      <c r="C6" s="31" t="str">
        <f>+'DANH MỤC'!A2</f>
        <v>Công trình:</v>
      </c>
      <c r="D6" s="32"/>
      <c r="E6" s="32"/>
      <c r="F6" s="32"/>
      <c r="G6" s="32"/>
      <c r="H6" s="32"/>
    </row>
    <row r="7" ht="21.75" customHeight="1">
      <c r="A7" s="29"/>
      <c r="B7" s="32"/>
      <c r="C7" s="33" t="str">
        <f>+'DANH MỤC'!A3</f>
        <v>Địa điểm:</v>
      </c>
      <c r="D7" s="32"/>
      <c r="E7" s="32"/>
      <c r="F7" s="32"/>
      <c r="G7" s="32"/>
      <c r="H7" s="32"/>
    </row>
    <row r="8" ht="21.75" customHeight="1">
      <c r="A8" s="29"/>
      <c r="B8" s="32"/>
      <c r="C8" s="33" t="str">
        <f>"Công tác"&amp;": "&amp;'DANH MỤC'!B8</f>
        <v>Công tác: Đúc cọc tại hiện trường</v>
      </c>
      <c r="D8" s="32"/>
      <c r="E8" s="32"/>
      <c r="F8" s="32"/>
      <c r="G8" s="32"/>
      <c r="H8" s="32"/>
    </row>
    <row r="9" ht="21.75" customHeight="1">
      <c r="A9" s="34"/>
      <c r="B9" s="35"/>
      <c r="C9" s="36"/>
      <c r="D9" s="35"/>
      <c r="E9" s="35"/>
      <c r="F9" s="35"/>
      <c r="G9" s="35"/>
    </row>
    <row r="10" ht="21.75" customHeight="1">
      <c r="A10" s="37" t="s">
        <v>3</v>
      </c>
      <c r="B10" s="37" t="s">
        <v>118</v>
      </c>
      <c r="C10" s="38" t="s">
        <v>119</v>
      </c>
      <c r="D10" s="38" t="s">
        <v>120</v>
      </c>
      <c r="E10" s="38" t="s">
        <v>121</v>
      </c>
      <c r="F10" s="39" t="s">
        <v>122</v>
      </c>
      <c r="G10" s="40"/>
      <c r="H10" s="38" t="s">
        <v>123</v>
      </c>
    </row>
    <row r="11" ht="21.75" customHeight="1">
      <c r="A11" s="41"/>
      <c r="B11" s="41"/>
      <c r="C11" s="41"/>
      <c r="D11" s="41"/>
      <c r="E11" s="41"/>
      <c r="F11" s="42" t="s">
        <v>124</v>
      </c>
      <c r="G11" s="42" t="s">
        <v>125</v>
      </c>
      <c r="H11" s="41"/>
    </row>
    <row r="12" ht="79.5" customHeight="1">
      <c r="A12" s="43">
        <v>1.0</v>
      </c>
      <c r="B12" s="38" t="s">
        <v>126</v>
      </c>
      <c r="C12" s="44" t="s">
        <v>127</v>
      </c>
      <c r="D12" s="45" t="s">
        <v>128</v>
      </c>
      <c r="E12" s="46" t="s">
        <v>129</v>
      </c>
      <c r="F12" s="47"/>
      <c r="G12" s="47"/>
      <c r="H12" s="45" t="s">
        <v>130</v>
      </c>
    </row>
    <row r="13" ht="39.75" customHeight="1">
      <c r="A13" s="48"/>
      <c r="B13" s="48"/>
      <c r="C13" s="44" t="s">
        <v>131</v>
      </c>
      <c r="D13" s="45" t="s">
        <v>132</v>
      </c>
      <c r="E13" s="45" t="s">
        <v>133</v>
      </c>
      <c r="F13" s="47"/>
      <c r="G13" s="47"/>
      <c r="H13" s="45" t="s">
        <v>130</v>
      </c>
    </row>
    <row r="14" ht="39.75" customHeight="1">
      <c r="A14" s="48"/>
      <c r="B14" s="48"/>
      <c r="C14" s="44" t="s">
        <v>134</v>
      </c>
      <c r="D14" s="45" t="s">
        <v>132</v>
      </c>
      <c r="E14" s="45" t="s">
        <v>133</v>
      </c>
      <c r="F14" s="47"/>
      <c r="G14" s="47"/>
      <c r="H14" s="45" t="s">
        <v>130</v>
      </c>
    </row>
    <row r="15" ht="42.0" customHeight="1">
      <c r="A15" s="48"/>
      <c r="B15" s="48"/>
      <c r="C15" s="44" t="s">
        <v>135</v>
      </c>
      <c r="D15" s="45" t="s">
        <v>132</v>
      </c>
      <c r="E15" s="45" t="s">
        <v>136</v>
      </c>
      <c r="F15" s="47"/>
      <c r="G15" s="47"/>
      <c r="H15" s="45" t="s">
        <v>137</v>
      </c>
    </row>
    <row r="16" ht="60.0" customHeight="1">
      <c r="A16" s="48"/>
      <c r="B16" s="48"/>
      <c r="C16" s="49" t="s">
        <v>138</v>
      </c>
      <c r="D16" s="45" t="s">
        <v>132</v>
      </c>
      <c r="E16" s="45" t="s">
        <v>139</v>
      </c>
      <c r="F16" s="47"/>
      <c r="G16" s="47"/>
      <c r="H16" s="46" t="s">
        <v>140</v>
      </c>
    </row>
    <row r="17" ht="39.75" customHeight="1">
      <c r="A17" s="48"/>
      <c r="B17" s="48"/>
      <c r="C17" s="44" t="s">
        <v>141</v>
      </c>
      <c r="D17" s="45" t="s">
        <v>132</v>
      </c>
      <c r="E17" s="45" t="s">
        <v>142</v>
      </c>
      <c r="F17" s="47"/>
      <c r="G17" s="47"/>
      <c r="H17" s="45" t="s">
        <v>143</v>
      </c>
    </row>
    <row r="18" ht="21.75" customHeight="1">
      <c r="A18" s="48"/>
      <c r="B18" s="48"/>
      <c r="C18" s="44" t="s">
        <v>144</v>
      </c>
      <c r="D18" s="45" t="s">
        <v>145</v>
      </c>
      <c r="E18" s="45" t="s">
        <v>146</v>
      </c>
      <c r="F18" s="47"/>
      <c r="G18" s="47"/>
      <c r="H18" s="45"/>
    </row>
    <row r="19" ht="21.75" customHeight="1">
      <c r="A19" s="48"/>
      <c r="B19" s="48"/>
      <c r="C19" s="44" t="s">
        <v>147</v>
      </c>
      <c r="D19" s="45" t="s">
        <v>132</v>
      </c>
      <c r="E19" s="45" t="s">
        <v>148</v>
      </c>
      <c r="F19" s="47"/>
      <c r="G19" s="47"/>
      <c r="H19" s="45"/>
    </row>
    <row r="20" ht="21.0" customHeight="1">
      <c r="A20" s="41"/>
      <c r="B20" s="41"/>
      <c r="C20" s="44" t="s">
        <v>149</v>
      </c>
      <c r="D20" s="45" t="s">
        <v>132</v>
      </c>
      <c r="E20" s="45" t="s">
        <v>148</v>
      </c>
      <c r="F20" s="47"/>
      <c r="G20" s="47"/>
      <c r="H20" s="45"/>
    </row>
    <row r="21" ht="39.75" customHeight="1">
      <c r="A21" s="43">
        <v>2.0</v>
      </c>
      <c r="B21" s="50" t="s">
        <v>150</v>
      </c>
      <c r="C21" s="44" t="s">
        <v>151</v>
      </c>
      <c r="D21" s="45" t="s">
        <v>132</v>
      </c>
      <c r="E21" s="45" t="s">
        <v>152</v>
      </c>
      <c r="F21" s="47"/>
      <c r="G21" s="47"/>
      <c r="H21" s="45" t="s">
        <v>130</v>
      </c>
    </row>
    <row r="22" ht="39.75" customHeight="1">
      <c r="A22" s="48"/>
      <c r="B22" s="48"/>
      <c r="C22" s="44" t="s">
        <v>153</v>
      </c>
      <c r="D22" s="45" t="s">
        <v>145</v>
      </c>
      <c r="E22" s="45" t="s">
        <v>154</v>
      </c>
      <c r="F22" s="47"/>
      <c r="G22" s="47"/>
      <c r="H22" s="45" t="s">
        <v>130</v>
      </c>
    </row>
    <row r="23" ht="79.5" customHeight="1">
      <c r="A23" s="41"/>
      <c r="B23" s="41"/>
      <c r="C23" s="44" t="s">
        <v>155</v>
      </c>
      <c r="D23" s="45" t="s">
        <v>145</v>
      </c>
      <c r="E23" s="45" t="s">
        <v>156</v>
      </c>
      <c r="F23" s="47"/>
      <c r="G23" s="47"/>
      <c r="H23" s="45" t="s">
        <v>130</v>
      </c>
    </row>
    <row r="24" ht="60.0" customHeight="1">
      <c r="A24" s="43">
        <v>3.0</v>
      </c>
      <c r="B24" s="38" t="s">
        <v>157</v>
      </c>
      <c r="C24" s="44" t="s">
        <v>158</v>
      </c>
      <c r="D24" s="45" t="s">
        <v>159</v>
      </c>
      <c r="E24" s="45" t="s">
        <v>160</v>
      </c>
      <c r="F24" s="47"/>
      <c r="G24" s="47"/>
      <c r="H24" s="51"/>
    </row>
    <row r="25" ht="60.0" customHeight="1">
      <c r="A25" s="48"/>
      <c r="B25" s="48"/>
      <c r="C25" s="44" t="s">
        <v>161</v>
      </c>
      <c r="D25" s="45" t="s">
        <v>145</v>
      </c>
      <c r="E25" s="45" t="s">
        <v>162</v>
      </c>
      <c r="F25" s="47"/>
      <c r="G25" s="47"/>
      <c r="H25" s="51"/>
    </row>
    <row r="26" ht="39.75" customHeight="1">
      <c r="A26" s="48"/>
      <c r="B26" s="48"/>
      <c r="C26" s="44" t="s">
        <v>151</v>
      </c>
      <c r="D26" s="45" t="s">
        <v>132</v>
      </c>
      <c r="E26" s="45" t="s">
        <v>163</v>
      </c>
      <c r="F26" s="47"/>
      <c r="G26" s="47"/>
      <c r="H26" s="45" t="s">
        <v>130</v>
      </c>
    </row>
    <row r="27" ht="21.0" customHeight="1">
      <c r="A27" s="41"/>
      <c r="B27" s="41"/>
      <c r="C27" s="44" t="s">
        <v>164</v>
      </c>
      <c r="D27" s="45" t="s">
        <v>165</v>
      </c>
      <c r="E27" s="45" t="s">
        <v>166</v>
      </c>
      <c r="F27" s="47"/>
      <c r="G27" s="47"/>
      <c r="H27" s="51"/>
    </row>
    <row r="28" ht="39.75" customHeight="1">
      <c r="A28" s="43">
        <v>4.0</v>
      </c>
      <c r="B28" s="38" t="s">
        <v>167</v>
      </c>
      <c r="C28" s="44" t="s">
        <v>151</v>
      </c>
      <c r="D28" s="45" t="s">
        <v>132</v>
      </c>
      <c r="E28" s="45" t="s">
        <v>168</v>
      </c>
      <c r="F28" s="47"/>
      <c r="G28" s="47"/>
      <c r="H28" s="51"/>
    </row>
    <row r="29" ht="39.75" customHeight="1">
      <c r="A29" s="48"/>
      <c r="B29" s="48"/>
      <c r="C29" s="44" t="s">
        <v>169</v>
      </c>
      <c r="D29" s="45" t="s">
        <v>145</v>
      </c>
      <c r="E29" s="45" t="s">
        <v>170</v>
      </c>
      <c r="F29" s="47"/>
      <c r="G29" s="47"/>
      <c r="H29" s="45" t="s">
        <v>171</v>
      </c>
    </row>
    <row r="30" ht="79.5" customHeight="1">
      <c r="A30" s="41"/>
      <c r="B30" s="41"/>
      <c r="C30" s="44" t="s">
        <v>172</v>
      </c>
      <c r="D30" s="45" t="s">
        <v>173</v>
      </c>
      <c r="E30" s="45" t="s">
        <v>133</v>
      </c>
      <c r="F30" s="47"/>
      <c r="G30" s="47"/>
      <c r="H30" s="45" t="s">
        <v>174</v>
      </c>
    </row>
    <row r="31" ht="21.0" customHeight="1">
      <c r="A31" s="52"/>
      <c r="B31" s="52" t="s">
        <v>175</v>
      </c>
      <c r="C31" s="53"/>
      <c r="D31" s="52"/>
      <c r="E31" s="52"/>
      <c r="F31" s="54"/>
      <c r="G31" s="52"/>
      <c r="H31" s="54"/>
    </row>
    <row r="32" ht="21.0" customHeight="1">
      <c r="A32" s="55" t="s">
        <v>176</v>
      </c>
      <c r="B32" s="56"/>
      <c r="C32" s="56"/>
      <c r="D32" s="56"/>
      <c r="E32" s="56"/>
      <c r="F32" s="56"/>
      <c r="G32" s="56"/>
      <c r="H32" s="57"/>
    </row>
    <row r="33" ht="18.75" customHeight="1">
      <c r="A33" s="58"/>
      <c r="H33" s="59"/>
    </row>
    <row r="34" ht="18.75" customHeight="1">
      <c r="A34" s="58"/>
      <c r="H34" s="59"/>
    </row>
    <row r="35" ht="18.75" customHeight="1">
      <c r="A35" s="58"/>
      <c r="H35" s="59"/>
    </row>
    <row r="36" ht="18.75" customHeight="1">
      <c r="A36" s="58"/>
      <c r="H36" s="59"/>
    </row>
    <row r="37" ht="18.75" customHeight="1">
      <c r="A37" s="58"/>
      <c r="H37" s="59"/>
    </row>
    <row r="38" ht="18.75" customHeight="1">
      <c r="A38" s="58"/>
      <c r="H38" s="59"/>
    </row>
    <row r="39" ht="18.75" customHeight="1">
      <c r="A39" s="58"/>
      <c r="H39" s="59"/>
    </row>
    <row r="40" ht="18.75" customHeight="1">
      <c r="A40" s="58"/>
      <c r="H40" s="59"/>
    </row>
    <row r="41" ht="18.75" customHeight="1">
      <c r="A41" s="58"/>
      <c r="H41" s="59"/>
    </row>
    <row r="42" ht="18.75" customHeight="1">
      <c r="A42" s="58"/>
      <c r="H42" s="59"/>
    </row>
    <row r="43" ht="18.75" customHeight="1">
      <c r="A43" s="58"/>
      <c r="H43" s="59"/>
    </row>
    <row r="44" ht="18.75" customHeight="1">
      <c r="A44" s="60"/>
      <c r="B44" s="61"/>
      <c r="C44" s="61"/>
      <c r="D44" s="61"/>
      <c r="E44" s="61"/>
      <c r="F44" s="61"/>
      <c r="G44" s="61"/>
      <c r="H44" s="62"/>
    </row>
    <row r="45" ht="18.75" customHeight="1">
      <c r="A45" s="63" t="s">
        <v>177</v>
      </c>
      <c r="B45" s="56"/>
      <c r="C45" s="56"/>
      <c r="D45" s="56"/>
      <c r="E45" s="56"/>
      <c r="F45" s="56"/>
      <c r="G45" s="56"/>
      <c r="H45" s="57"/>
    </row>
    <row r="46" ht="18.75" customHeight="1">
      <c r="A46" s="58"/>
      <c r="H46" s="59"/>
    </row>
    <row r="47" ht="18.75" customHeight="1">
      <c r="A47" s="58"/>
      <c r="H47" s="59"/>
    </row>
    <row r="48" ht="18.75" customHeight="1">
      <c r="A48" s="60"/>
      <c r="B48" s="61"/>
      <c r="C48" s="61"/>
      <c r="D48" s="61"/>
      <c r="E48" s="61"/>
      <c r="F48" s="61"/>
      <c r="G48" s="61"/>
      <c r="H48" s="62"/>
    </row>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mergeCells count="23">
    <mergeCell ref="D10:D11"/>
    <mergeCell ref="E10:E11"/>
    <mergeCell ref="F10:G10"/>
    <mergeCell ref="H10:H11"/>
    <mergeCell ref="A2:C2"/>
    <mergeCell ref="E2:H2"/>
    <mergeCell ref="A3:C3"/>
    <mergeCell ref="E3:H3"/>
    <mergeCell ref="E4:H4"/>
    <mergeCell ref="A5:H5"/>
    <mergeCell ref="A10:A11"/>
    <mergeCell ref="A24:A27"/>
    <mergeCell ref="A28:A30"/>
    <mergeCell ref="B28:B30"/>
    <mergeCell ref="A32:H44"/>
    <mergeCell ref="A45:H48"/>
    <mergeCell ref="B10:B11"/>
    <mergeCell ref="C10:C11"/>
    <mergeCell ref="A12:A20"/>
    <mergeCell ref="B12:B20"/>
    <mergeCell ref="A21:A23"/>
    <mergeCell ref="B21:B23"/>
    <mergeCell ref="B24:B27"/>
  </mergeCells>
  <hyperlinks>
    <hyperlink display="Ấn để trở về sheet &quot; Danh mục&quot;" location="'DANH MỤC'!A1" ref="I5"/>
  </hyperlink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5.0"/>
    <col customWidth="1" min="2" max="2" width="14.0"/>
    <col customWidth="1" min="3" max="3" width="48.0"/>
    <col customWidth="1" min="4" max="4" width="20.0"/>
    <col customWidth="1" min="5" max="5" width="23.0"/>
    <col customWidth="1" min="6" max="7" width="9.0"/>
    <col customWidth="1" min="8" max="8" width="21.0"/>
    <col customWidth="1" min="9" max="9" width="29.0"/>
    <col customWidth="1" min="10" max="26" width="14.0"/>
  </cols>
  <sheetData>
    <row r="1" ht="21.0" customHeight="1">
      <c r="A1" s="19"/>
      <c r="B1" s="19"/>
      <c r="C1" s="20"/>
      <c r="D1" s="21"/>
      <c r="E1" s="21"/>
      <c r="F1" s="22"/>
      <c r="G1" s="21"/>
      <c r="H1" s="22"/>
    </row>
    <row r="2" ht="18.75" customHeight="1">
      <c r="A2" s="23" t="s">
        <v>111</v>
      </c>
      <c r="B2" s="24"/>
      <c r="C2" s="24"/>
      <c r="E2" s="26" t="s">
        <v>112</v>
      </c>
    </row>
    <row r="3" ht="21.0" customHeight="1">
      <c r="A3" s="1"/>
      <c r="E3" s="1" t="s">
        <v>113</v>
      </c>
    </row>
    <row r="4" ht="21.0" customHeight="1">
      <c r="E4" s="26" t="s">
        <v>114</v>
      </c>
    </row>
    <row r="5" ht="21.75" customHeight="1">
      <c r="A5" s="27" t="s">
        <v>115</v>
      </c>
      <c r="I5" s="28" t="s">
        <v>116</v>
      </c>
    </row>
    <row r="6" ht="21.75" customHeight="1">
      <c r="A6" s="29" t="s">
        <v>117</v>
      </c>
      <c r="B6" s="30"/>
      <c r="C6" s="31" t="str">
        <f>+'DANH MỤC'!A2</f>
        <v>Công trình:</v>
      </c>
      <c r="D6" s="32"/>
      <c r="E6" s="32"/>
      <c r="F6" s="32"/>
      <c r="G6" s="32"/>
      <c r="H6" s="32"/>
    </row>
    <row r="7" ht="21.75" customHeight="1">
      <c r="A7" s="29"/>
      <c r="B7" s="32"/>
      <c r="C7" s="33" t="str">
        <f>+'DANH MỤC'!A3</f>
        <v>Địa điểm:</v>
      </c>
      <c r="D7" s="32"/>
      <c r="E7" s="32"/>
      <c r="F7" s="32"/>
      <c r="G7" s="32"/>
      <c r="H7" s="32"/>
    </row>
    <row r="8" ht="21.75" customHeight="1">
      <c r="A8" s="29"/>
      <c r="B8" s="32"/>
      <c r="C8" s="33" t="str">
        <f>"Công tác"&amp;": "&amp;'DANH MỤC'!B9</f>
        <v>Công tác: Cọc bê tông đúc sẵn</v>
      </c>
      <c r="D8" s="32"/>
      <c r="E8" s="32"/>
      <c r="F8" s="32"/>
      <c r="G8" s="32"/>
      <c r="H8" s="32"/>
    </row>
    <row r="9" ht="21.75" customHeight="1">
      <c r="A9" s="34"/>
      <c r="B9" s="35"/>
      <c r="C9" s="36"/>
      <c r="D9" s="35"/>
      <c r="E9" s="35"/>
      <c r="F9" s="35"/>
      <c r="G9" s="35"/>
    </row>
    <row r="10" ht="21.75" customHeight="1">
      <c r="A10" s="37" t="s">
        <v>3</v>
      </c>
      <c r="B10" s="37" t="s">
        <v>118</v>
      </c>
      <c r="C10" s="38" t="s">
        <v>119</v>
      </c>
      <c r="D10" s="38" t="s">
        <v>120</v>
      </c>
      <c r="E10" s="38" t="s">
        <v>121</v>
      </c>
      <c r="F10" s="39" t="s">
        <v>122</v>
      </c>
      <c r="G10" s="40"/>
      <c r="H10" s="38" t="s">
        <v>123</v>
      </c>
    </row>
    <row r="11" ht="21.75" customHeight="1">
      <c r="A11" s="41"/>
      <c r="B11" s="41"/>
      <c r="C11" s="41"/>
      <c r="D11" s="41"/>
      <c r="E11" s="41"/>
      <c r="F11" s="42" t="s">
        <v>124</v>
      </c>
      <c r="G11" s="42" t="s">
        <v>125</v>
      </c>
      <c r="H11" s="41"/>
    </row>
    <row r="12" ht="99.0" customHeight="1">
      <c r="A12" s="43">
        <v>1.0</v>
      </c>
      <c r="B12" s="38" t="s">
        <v>178</v>
      </c>
      <c r="C12" s="44" t="s">
        <v>179</v>
      </c>
      <c r="D12" s="45" t="s">
        <v>180</v>
      </c>
      <c r="E12" s="45" t="s">
        <v>133</v>
      </c>
      <c r="F12" s="47"/>
      <c r="G12" s="47"/>
      <c r="H12" s="45" t="s">
        <v>174</v>
      </c>
    </row>
    <row r="13" ht="21.75" customHeight="1">
      <c r="A13" s="48"/>
      <c r="B13" s="48"/>
      <c r="C13" s="44" t="s">
        <v>181</v>
      </c>
      <c r="D13" s="45" t="s">
        <v>132</v>
      </c>
      <c r="E13" s="45" t="s">
        <v>133</v>
      </c>
      <c r="F13" s="47"/>
      <c r="G13" s="47"/>
      <c r="H13" s="45" t="s">
        <v>182</v>
      </c>
    </row>
    <row r="14" ht="42.0" customHeight="1">
      <c r="A14" s="48"/>
      <c r="B14" s="48"/>
      <c r="C14" s="44" t="s">
        <v>183</v>
      </c>
      <c r="D14" s="45" t="s">
        <v>132</v>
      </c>
      <c r="E14" s="64" t="s">
        <v>184</v>
      </c>
      <c r="F14" s="47"/>
      <c r="G14" s="47"/>
      <c r="H14" s="45" t="s">
        <v>182</v>
      </c>
    </row>
    <row r="15" ht="24.75" customHeight="1">
      <c r="A15" s="48"/>
      <c r="B15" s="48"/>
      <c r="C15" s="49" t="s">
        <v>185</v>
      </c>
      <c r="D15" s="45" t="s">
        <v>132</v>
      </c>
      <c r="E15" s="45" t="s">
        <v>133</v>
      </c>
      <c r="F15" s="47"/>
      <c r="G15" s="47"/>
      <c r="H15" s="45" t="s">
        <v>182</v>
      </c>
    </row>
    <row r="16" ht="39.75" customHeight="1">
      <c r="A16" s="65"/>
      <c r="B16" s="48"/>
      <c r="C16" s="44" t="s">
        <v>186</v>
      </c>
      <c r="D16" s="45" t="s">
        <v>187</v>
      </c>
      <c r="E16" s="64" t="s">
        <v>188</v>
      </c>
      <c r="F16" s="47"/>
      <c r="G16" s="47"/>
      <c r="H16" s="45" t="s">
        <v>182</v>
      </c>
    </row>
    <row r="17" ht="39.75" customHeight="1">
      <c r="A17" s="41"/>
      <c r="B17" s="48"/>
      <c r="C17" s="44" t="s">
        <v>189</v>
      </c>
      <c r="D17" s="45" t="s">
        <v>132</v>
      </c>
      <c r="E17" s="45" t="s">
        <v>133</v>
      </c>
      <c r="F17" s="47"/>
      <c r="G17" s="47"/>
      <c r="H17" s="45" t="s">
        <v>182</v>
      </c>
    </row>
    <row r="18" ht="24.75" customHeight="1">
      <c r="A18" s="65"/>
      <c r="B18" s="48"/>
      <c r="C18" s="44" t="s">
        <v>190</v>
      </c>
      <c r="D18" s="45"/>
      <c r="E18" s="45" t="s">
        <v>133</v>
      </c>
      <c r="F18" s="47"/>
      <c r="G18" s="47"/>
      <c r="H18" s="45" t="s">
        <v>182</v>
      </c>
    </row>
    <row r="19" ht="21.0" customHeight="1">
      <c r="A19" s="65"/>
      <c r="B19" s="48"/>
      <c r="C19" s="44" t="s">
        <v>191</v>
      </c>
      <c r="D19" s="45"/>
      <c r="E19" s="64" t="s">
        <v>188</v>
      </c>
      <c r="F19" s="47"/>
      <c r="G19" s="47"/>
      <c r="H19" s="45" t="s">
        <v>182</v>
      </c>
    </row>
    <row r="20" ht="39.75" customHeight="1">
      <c r="A20" s="43">
        <v>3.0</v>
      </c>
      <c r="B20" s="48"/>
      <c r="C20" s="44" t="s">
        <v>192</v>
      </c>
      <c r="D20" s="45" t="s">
        <v>193</v>
      </c>
      <c r="E20" s="45" t="s">
        <v>194</v>
      </c>
      <c r="F20" s="47"/>
      <c r="G20" s="47"/>
      <c r="H20" s="45" t="s">
        <v>182</v>
      </c>
    </row>
    <row r="21" ht="118.5" customHeight="1">
      <c r="A21" s="48"/>
      <c r="B21" s="48"/>
      <c r="C21" s="44" t="s">
        <v>195</v>
      </c>
      <c r="D21" s="45" t="s">
        <v>145</v>
      </c>
      <c r="E21" s="45" t="s">
        <v>196</v>
      </c>
      <c r="F21" s="47"/>
      <c r="G21" s="47"/>
      <c r="H21" s="45" t="s">
        <v>182</v>
      </c>
    </row>
    <row r="22" ht="60.0" customHeight="1">
      <c r="A22" s="41"/>
      <c r="B22" s="41"/>
      <c r="C22" s="44" t="s">
        <v>197</v>
      </c>
      <c r="D22" s="45" t="s">
        <v>198</v>
      </c>
      <c r="E22" s="45" t="s">
        <v>133</v>
      </c>
      <c r="F22" s="47"/>
      <c r="G22" s="47"/>
      <c r="H22" s="45" t="s">
        <v>182</v>
      </c>
    </row>
    <row r="23" ht="21.0" customHeight="1">
      <c r="A23" s="52"/>
      <c r="B23" s="52" t="s">
        <v>175</v>
      </c>
      <c r="C23" s="53"/>
      <c r="D23" s="52"/>
      <c r="E23" s="52"/>
      <c r="F23" s="54"/>
      <c r="G23" s="52"/>
      <c r="H23" s="54"/>
    </row>
    <row r="24" ht="21.0" customHeight="1">
      <c r="A24" s="55" t="s">
        <v>176</v>
      </c>
      <c r="B24" s="56"/>
      <c r="C24" s="56"/>
      <c r="D24" s="56"/>
      <c r="E24" s="56"/>
      <c r="F24" s="56"/>
      <c r="G24" s="56"/>
      <c r="H24" s="57"/>
    </row>
    <row r="25" ht="18.75" customHeight="1">
      <c r="A25" s="58"/>
      <c r="H25" s="59"/>
    </row>
    <row r="26" ht="18.75" customHeight="1">
      <c r="A26" s="58"/>
      <c r="H26" s="59"/>
    </row>
    <row r="27" ht="18.75" customHeight="1">
      <c r="A27" s="58"/>
      <c r="H27" s="59"/>
    </row>
    <row r="28" ht="18.75" customHeight="1">
      <c r="A28" s="58"/>
      <c r="H28" s="59"/>
    </row>
    <row r="29" ht="18.75" customHeight="1">
      <c r="A29" s="58"/>
      <c r="H29" s="59"/>
    </row>
    <row r="30" ht="18.75" customHeight="1">
      <c r="A30" s="58"/>
      <c r="H30" s="59"/>
    </row>
    <row r="31" ht="18.75" customHeight="1">
      <c r="A31" s="58"/>
      <c r="H31" s="59"/>
    </row>
    <row r="32" ht="18.75" customHeight="1">
      <c r="A32" s="58"/>
      <c r="H32" s="59"/>
    </row>
    <row r="33" ht="18.75" customHeight="1">
      <c r="A33" s="58"/>
      <c r="H33" s="59"/>
    </row>
    <row r="34" ht="18.75" customHeight="1">
      <c r="A34" s="58"/>
      <c r="H34" s="59"/>
    </row>
    <row r="35" ht="18.75" customHeight="1">
      <c r="A35" s="58"/>
      <c r="H35" s="59"/>
    </row>
    <row r="36" ht="18.75" customHeight="1">
      <c r="A36" s="60"/>
      <c r="B36" s="61"/>
      <c r="C36" s="61"/>
      <c r="D36" s="61"/>
      <c r="E36" s="61"/>
      <c r="F36" s="61"/>
      <c r="G36" s="61"/>
      <c r="H36" s="62"/>
    </row>
    <row r="37" ht="18.75" customHeight="1">
      <c r="A37" s="63" t="s">
        <v>177</v>
      </c>
      <c r="B37" s="56"/>
      <c r="C37" s="56"/>
      <c r="D37" s="56"/>
      <c r="E37" s="56"/>
      <c r="F37" s="56"/>
      <c r="G37" s="56"/>
      <c r="H37" s="57"/>
    </row>
    <row r="38" ht="18.75" customHeight="1">
      <c r="A38" s="58"/>
      <c r="H38" s="59"/>
    </row>
    <row r="39" ht="18.75" customHeight="1">
      <c r="A39" s="58"/>
      <c r="H39" s="59"/>
    </row>
    <row r="40" ht="18.75" customHeight="1">
      <c r="A40" s="60"/>
      <c r="B40" s="61"/>
      <c r="C40" s="61"/>
      <c r="D40" s="61"/>
      <c r="E40" s="61"/>
      <c r="F40" s="61"/>
      <c r="G40" s="61"/>
      <c r="H40" s="62"/>
    </row>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mergeCells count="19">
    <mergeCell ref="B10:B11"/>
    <mergeCell ref="C10:C11"/>
    <mergeCell ref="A12:A15"/>
    <mergeCell ref="B12:B22"/>
    <mergeCell ref="A16:A17"/>
    <mergeCell ref="A20:A22"/>
    <mergeCell ref="A24:H36"/>
    <mergeCell ref="A37:H40"/>
    <mergeCell ref="D10:D11"/>
    <mergeCell ref="E10:E11"/>
    <mergeCell ref="F10:G10"/>
    <mergeCell ref="H10:H11"/>
    <mergeCell ref="A2:C2"/>
    <mergeCell ref="E2:H2"/>
    <mergeCell ref="A3:C3"/>
    <mergeCell ref="E3:H3"/>
    <mergeCell ref="E4:H4"/>
    <mergeCell ref="A5:H5"/>
    <mergeCell ref="A10:A11"/>
  </mergeCells>
  <hyperlinks>
    <hyperlink display="Ấn để trở về sheet &quot; Danh mục&quot;" location="'DANH MỤC'!A1" ref="I5"/>
  </hyperlink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5.0"/>
    <col customWidth="1" min="2" max="2" width="14.0"/>
    <col customWidth="1" min="3" max="3" width="47.0"/>
    <col customWidth="1" min="4" max="4" width="20.0"/>
    <col customWidth="1" min="5" max="5" width="35.0"/>
    <col customWidth="1" min="6" max="7" width="9.0"/>
    <col customWidth="1" min="8" max="8" width="21.0"/>
    <col customWidth="1" min="9" max="9" width="42.0"/>
    <col customWidth="1" min="10" max="26" width="14.0"/>
  </cols>
  <sheetData>
    <row r="1" ht="21.0" customHeight="1">
      <c r="A1" s="19"/>
      <c r="B1" s="19"/>
      <c r="C1" s="20"/>
      <c r="D1" s="21"/>
      <c r="E1" s="21"/>
      <c r="F1" s="22"/>
      <c r="G1" s="21"/>
      <c r="H1" s="22"/>
    </row>
    <row r="2" ht="18.75" customHeight="1">
      <c r="A2" s="23" t="s">
        <v>111</v>
      </c>
      <c r="B2" s="24"/>
      <c r="C2" s="24"/>
      <c r="E2" s="26" t="s">
        <v>112</v>
      </c>
    </row>
    <row r="3" ht="21.0" customHeight="1">
      <c r="A3" s="1"/>
      <c r="E3" s="1" t="s">
        <v>113</v>
      </c>
    </row>
    <row r="4" ht="21.0" customHeight="1">
      <c r="E4" s="26" t="s">
        <v>114</v>
      </c>
    </row>
    <row r="5" ht="21.75" customHeight="1">
      <c r="A5" s="27" t="s">
        <v>115</v>
      </c>
      <c r="I5" s="28" t="s">
        <v>116</v>
      </c>
    </row>
    <row r="6" ht="21.75" customHeight="1">
      <c r="A6" s="29" t="s">
        <v>117</v>
      </c>
      <c r="B6" s="30"/>
      <c r="C6" s="31" t="str">
        <f>+'DANH MỤC'!A2</f>
        <v>Công trình:</v>
      </c>
      <c r="D6" s="32"/>
      <c r="E6" s="32"/>
      <c r="F6" s="32"/>
      <c r="G6" s="32"/>
      <c r="H6" s="32"/>
    </row>
    <row r="7" ht="21.75" customHeight="1">
      <c r="A7" s="29"/>
      <c r="B7" s="32"/>
      <c r="C7" s="33" t="str">
        <f>+'DANH MỤC'!A3</f>
        <v>Địa điểm:</v>
      </c>
      <c r="D7" s="32"/>
      <c r="E7" s="32"/>
      <c r="F7" s="32"/>
      <c r="G7" s="32"/>
      <c r="H7" s="32"/>
    </row>
    <row r="8" ht="21.75" customHeight="1">
      <c r="A8" s="29"/>
      <c r="B8" s="32"/>
      <c r="C8" s="33" t="str">
        <f>"Công tác"&amp;": "&amp;'DANH MỤC'!B10</f>
        <v>Công tác: Ép cọc</v>
      </c>
      <c r="D8" s="32"/>
      <c r="E8" s="32"/>
      <c r="F8" s="32"/>
      <c r="G8" s="32"/>
      <c r="H8" s="32"/>
    </row>
    <row r="9" ht="21.75" customHeight="1">
      <c r="A9" s="34"/>
      <c r="B9" s="35"/>
      <c r="C9" s="36"/>
      <c r="D9" s="35"/>
      <c r="E9" s="35"/>
      <c r="F9" s="35"/>
      <c r="G9" s="35"/>
    </row>
    <row r="10" ht="21.75" customHeight="1">
      <c r="A10" s="37" t="s">
        <v>3</v>
      </c>
      <c r="B10" s="37" t="s">
        <v>118</v>
      </c>
      <c r="C10" s="38" t="s">
        <v>119</v>
      </c>
      <c r="D10" s="38" t="s">
        <v>120</v>
      </c>
      <c r="E10" s="38" t="s">
        <v>121</v>
      </c>
      <c r="F10" s="39" t="s">
        <v>122</v>
      </c>
      <c r="G10" s="40"/>
      <c r="H10" s="38" t="s">
        <v>123</v>
      </c>
    </row>
    <row r="11" ht="21.75" customHeight="1">
      <c r="A11" s="41"/>
      <c r="B11" s="41"/>
      <c r="C11" s="41"/>
      <c r="D11" s="41"/>
      <c r="E11" s="41"/>
      <c r="F11" s="42" t="s">
        <v>124</v>
      </c>
      <c r="G11" s="42" t="s">
        <v>125</v>
      </c>
      <c r="H11" s="41"/>
    </row>
    <row r="12" ht="99.0" customHeight="1">
      <c r="A12" s="43">
        <v>1.0</v>
      </c>
      <c r="B12" s="38" t="s">
        <v>199</v>
      </c>
      <c r="C12" s="44" t="s">
        <v>200</v>
      </c>
      <c r="D12" s="45" t="s">
        <v>201</v>
      </c>
      <c r="E12" s="45" t="s">
        <v>202</v>
      </c>
      <c r="F12" s="47"/>
      <c r="G12" s="47"/>
      <c r="H12" s="45" t="s">
        <v>203</v>
      </c>
    </row>
    <row r="13" ht="52.5" customHeight="1">
      <c r="A13" s="48"/>
      <c r="B13" s="48"/>
      <c r="C13" s="44" t="s">
        <v>204</v>
      </c>
      <c r="D13" s="45" t="s">
        <v>205</v>
      </c>
      <c r="E13" s="45" t="s">
        <v>133</v>
      </c>
      <c r="F13" s="47"/>
      <c r="G13" s="47"/>
      <c r="H13" s="45" t="s">
        <v>182</v>
      </c>
    </row>
    <row r="14" ht="40.5" customHeight="1">
      <c r="A14" s="48"/>
      <c r="B14" s="48"/>
      <c r="C14" s="44" t="s">
        <v>206</v>
      </c>
      <c r="D14" s="45" t="s">
        <v>132</v>
      </c>
      <c r="E14" s="45" t="s">
        <v>207</v>
      </c>
      <c r="F14" s="47"/>
      <c r="G14" s="47"/>
      <c r="H14" s="45" t="s">
        <v>203</v>
      </c>
    </row>
    <row r="15" ht="55.5" customHeight="1">
      <c r="A15" s="48"/>
      <c r="B15" s="48"/>
      <c r="C15" s="44" t="s">
        <v>208</v>
      </c>
      <c r="D15" s="45" t="s">
        <v>205</v>
      </c>
      <c r="E15" s="46" t="s">
        <v>209</v>
      </c>
      <c r="F15" s="47"/>
      <c r="G15" s="47"/>
      <c r="H15" s="45"/>
    </row>
    <row r="16" ht="42.0" customHeight="1">
      <c r="A16" s="48"/>
      <c r="B16" s="48"/>
      <c r="C16" s="44" t="s">
        <v>210</v>
      </c>
      <c r="D16" s="45" t="s">
        <v>132</v>
      </c>
      <c r="E16" s="46" t="s">
        <v>207</v>
      </c>
      <c r="F16" s="47"/>
      <c r="G16" s="47"/>
      <c r="H16" s="45" t="s">
        <v>203</v>
      </c>
    </row>
    <row r="17" ht="60.0" customHeight="1">
      <c r="A17" s="48"/>
      <c r="B17" s="48"/>
      <c r="C17" s="49" t="s">
        <v>211</v>
      </c>
      <c r="D17" s="45" t="s">
        <v>212</v>
      </c>
      <c r="E17" s="46" t="s">
        <v>213</v>
      </c>
      <c r="F17" s="47"/>
      <c r="G17" s="47"/>
      <c r="H17" s="45" t="s">
        <v>203</v>
      </c>
    </row>
    <row r="18" ht="99.0" customHeight="1">
      <c r="A18" s="65"/>
      <c r="B18" s="48"/>
      <c r="C18" s="44" t="s">
        <v>214</v>
      </c>
      <c r="D18" s="45" t="s">
        <v>205</v>
      </c>
      <c r="E18" s="66" t="s">
        <v>215</v>
      </c>
      <c r="F18" s="47"/>
      <c r="G18" s="47"/>
      <c r="H18" s="45" t="s">
        <v>203</v>
      </c>
    </row>
    <row r="19" ht="39.75" customHeight="1">
      <c r="A19" s="41"/>
      <c r="B19" s="48"/>
      <c r="C19" s="44" t="s">
        <v>216</v>
      </c>
      <c r="D19" s="45" t="s">
        <v>217</v>
      </c>
      <c r="E19" s="45" t="s">
        <v>133</v>
      </c>
      <c r="F19" s="47"/>
      <c r="G19" s="47"/>
      <c r="H19" s="45" t="s">
        <v>203</v>
      </c>
    </row>
    <row r="20" ht="39.75" customHeight="1">
      <c r="A20" s="65"/>
      <c r="B20" s="48"/>
      <c r="C20" s="44" t="s">
        <v>218</v>
      </c>
      <c r="D20" s="46" t="s">
        <v>219</v>
      </c>
      <c r="E20" s="67" t="s">
        <v>133</v>
      </c>
      <c r="F20" s="47"/>
      <c r="G20" s="47"/>
      <c r="H20" s="45" t="s">
        <v>203</v>
      </c>
    </row>
    <row r="21" ht="21.0" customHeight="1">
      <c r="A21" s="68"/>
      <c r="B21" s="41"/>
      <c r="C21" s="44"/>
      <c r="D21" s="45"/>
      <c r="E21" s="45"/>
      <c r="F21" s="47"/>
      <c r="G21" s="47"/>
      <c r="H21" s="45"/>
    </row>
    <row r="22" ht="21.0" customHeight="1">
      <c r="A22" s="52"/>
      <c r="B22" s="52" t="s">
        <v>175</v>
      </c>
      <c r="C22" s="53"/>
      <c r="D22" s="52"/>
      <c r="E22" s="52"/>
      <c r="F22" s="54"/>
      <c r="G22" s="52"/>
      <c r="H22" s="54"/>
    </row>
    <row r="23" ht="21.0" customHeight="1">
      <c r="A23" s="55" t="s">
        <v>176</v>
      </c>
      <c r="B23" s="56"/>
      <c r="C23" s="56"/>
      <c r="D23" s="56"/>
      <c r="E23" s="56"/>
      <c r="F23" s="56"/>
      <c r="G23" s="56"/>
      <c r="H23" s="57"/>
    </row>
    <row r="24" ht="18.75" customHeight="1">
      <c r="A24" s="58"/>
      <c r="H24" s="59"/>
    </row>
    <row r="25" ht="18.75" customHeight="1">
      <c r="A25" s="58"/>
      <c r="H25" s="59"/>
    </row>
    <row r="26" ht="18.75" customHeight="1">
      <c r="A26" s="58"/>
      <c r="H26" s="59"/>
    </row>
    <row r="27" ht="18.75" customHeight="1">
      <c r="A27" s="58"/>
      <c r="H27" s="59"/>
    </row>
    <row r="28" ht="18.75" customHeight="1">
      <c r="A28" s="58"/>
      <c r="H28" s="59"/>
    </row>
    <row r="29" ht="18.75" customHeight="1">
      <c r="A29" s="58"/>
      <c r="H29" s="59"/>
    </row>
    <row r="30" ht="18.75" customHeight="1">
      <c r="A30" s="58"/>
      <c r="H30" s="59"/>
    </row>
    <row r="31" ht="18.75" customHeight="1">
      <c r="A31" s="58"/>
      <c r="H31" s="59"/>
    </row>
    <row r="32" ht="18.75" customHeight="1">
      <c r="A32" s="58"/>
      <c r="H32" s="59"/>
    </row>
    <row r="33" ht="18.75" customHeight="1">
      <c r="A33" s="58"/>
      <c r="H33" s="59"/>
    </row>
    <row r="34" ht="18.75" customHeight="1">
      <c r="A34" s="58"/>
      <c r="H34" s="59"/>
    </row>
    <row r="35" ht="18.75" customHeight="1">
      <c r="A35" s="60"/>
      <c r="B35" s="61"/>
      <c r="C35" s="61"/>
      <c r="D35" s="61"/>
      <c r="E35" s="61"/>
      <c r="F35" s="61"/>
      <c r="G35" s="61"/>
      <c r="H35" s="62"/>
    </row>
    <row r="36" ht="18.75" customHeight="1">
      <c r="A36" s="63" t="s">
        <v>177</v>
      </c>
      <c r="B36" s="56"/>
      <c r="C36" s="56"/>
      <c r="D36" s="56"/>
      <c r="E36" s="56"/>
      <c r="F36" s="56"/>
      <c r="G36" s="56"/>
      <c r="H36" s="57"/>
    </row>
    <row r="37" ht="18.75" customHeight="1">
      <c r="A37" s="58"/>
      <c r="H37" s="59"/>
    </row>
    <row r="38" ht="18.75" customHeight="1">
      <c r="A38" s="58"/>
      <c r="H38" s="59"/>
    </row>
    <row r="39" ht="18.75" customHeight="1">
      <c r="A39" s="60"/>
      <c r="B39" s="61"/>
      <c r="C39" s="61"/>
      <c r="D39" s="61"/>
      <c r="E39" s="61"/>
      <c r="F39" s="61"/>
      <c r="G39" s="61"/>
      <c r="H39" s="62"/>
    </row>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mergeCells count="18">
    <mergeCell ref="B10:B11"/>
    <mergeCell ref="C10:C11"/>
    <mergeCell ref="A12:A17"/>
    <mergeCell ref="B12:B21"/>
    <mergeCell ref="A18:A19"/>
    <mergeCell ref="A23:H35"/>
    <mergeCell ref="A36:H39"/>
    <mergeCell ref="D10:D11"/>
    <mergeCell ref="E10:E11"/>
    <mergeCell ref="F10:G10"/>
    <mergeCell ref="H10:H11"/>
    <mergeCell ref="A2:C2"/>
    <mergeCell ref="E2:H2"/>
    <mergeCell ref="A3:C3"/>
    <mergeCell ref="E3:H3"/>
    <mergeCell ref="E4:H4"/>
    <mergeCell ref="A5:H5"/>
    <mergeCell ref="A10:A11"/>
  </mergeCells>
  <hyperlinks>
    <hyperlink display="Ấn để trở về sheet &quot; Danh mục&quot;" location="'DANH MỤC'!A1" ref="I5"/>
  </hyperlink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5.0"/>
    <col customWidth="1" min="2" max="2" width="14.0"/>
    <col customWidth="1" min="3" max="3" width="47.0"/>
    <col customWidth="1" hidden="1" min="4" max="4" width="20.0"/>
    <col customWidth="1" min="5" max="5" width="24.0"/>
    <col customWidth="1" min="6" max="7" width="9.0"/>
    <col customWidth="1" min="8" max="8" width="21.0"/>
    <col customWidth="1" min="9" max="9" width="42.0"/>
    <col customWidth="1" min="10" max="26" width="14.0"/>
  </cols>
  <sheetData>
    <row r="1" ht="21.0" customHeight="1">
      <c r="A1" s="19"/>
      <c r="B1" s="19"/>
      <c r="C1" s="20"/>
      <c r="D1" s="21"/>
      <c r="E1" s="21"/>
      <c r="F1" s="22"/>
      <c r="G1" s="21"/>
      <c r="H1" s="22"/>
    </row>
    <row r="2" ht="18.75" customHeight="1">
      <c r="A2" s="23" t="s">
        <v>111</v>
      </c>
      <c r="B2" s="24"/>
      <c r="C2" s="24"/>
      <c r="E2" s="26" t="s">
        <v>112</v>
      </c>
    </row>
    <row r="3" ht="21.0" customHeight="1">
      <c r="A3" s="1"/>
      <c r="E3" s="1" t="s">
        <v>113</v>
      </c>
    </row>
    <row r="4" ht="21.0" customHeight="1">
      <c r="E4" s="26" t="s">
        <v>114</v>
      </c>
    </row>
    <row r="5" ht="21.75" customHeight="1">
      <c r="A5" s="27" t="s">
        <v>115</v>
      </c>
      <c r="I5" s="28" t="s">
        <v>116</v>
      </c>
    </row>
    <row r="6" ht="21.75" customHeight="1">
      <c r="A6" s="29" t="s">
        <v>117</v>
      </c>
      <c r="B6" s="30"/>
      <c r="C6" s="31" t="str">
        <f>+'DANH MỤC'!A2</f>
        <v>Công trình:</v>
      </c>
      <c r="D6" s="32"/>
      <c r="E6" s="32"/>
      <c r="F6" s="32"/>
      <c r="G6" s="32"/>
      <c r="H6" s="32"/>
    </row>
    <row r="7" ht="21.75" customHeight="1">
      <c r="A7" s="29"/>
      <c r="B7" s="32"/>
      <c r="C7" s="33" t="str">
        <f>+'DANH MỤC'!A3</f>
        <v>Địa điểm:</v>
      </c>
      <c r="D7" s="32"/>
      <c r="E7" s="32"/>
      <c r="F7" s="32"/>
      <c r="G7" s="32"/>
      <c r="H7" s="32"/>
    </row>
    <row r="8" ht="21.75" customHeight="1">
      <c r="A8" s="29"/>
      <c r="B8" s="32"/>
      <c r="C8" s="33" t="str">
        <f>"Công tác"&amp;": "&amp;'DANH MỤC'!B11</f>
        <v>Công tác: Cắt đầu cọc ly tâm</v>
      </c>
      <c r="D8" s="32"/>
      <c r="E8" s="32"/>
      <c r="F8" s="32"/>
      <c r="G8" s="32"/>
      <c r="H8" s="32"/>
    </row>
    <row r="9" ht="21.75" customHeight="1">
      <c r="A9" s="34"/>
      <c r="B9" s="35"/>
      <c r="C9" s="36"/>
      <c r="D9" s="35"/>
      <c r="E9" s="35"/>
      <c r="F9" s="35"/>
      <c r="G9" s="35"/>
    </row>
    <row r="10" ht="21.75" customHeight="1">
      <c r="A10" s="37" t="s">
        <v>3</v>
      </c>
      <c r="B10" s="37" t="s">
        <v>118</v>
      </c>
      <c r="C10" s="38" t="s">
        <v>119</v>
      </c>
      <c r="D10" s="38" t="s">
        <v>120</v>
      </c>
      <c r="E10" s="38" t="s">
        <v>121</v>
      </c>
      <c r="F10" s="39" t="s">
        <v>122</v>
      </c>
      <c r="G10" s="40"/>
      <c r="H10" s="38" t="s">
        <v>123</v>
      </c>
    </row>
    <row r="11" ht="21.75" customHeight="1">
      <c r="A11" s="41"/>
      <c r="B11" s="41"/>
      <c r="C11" s="41"/>
      <c r="D11" s="41"/>
      <c r="E11" s="41"/>
      <c r="F11" s="42" t="s">
        <v>124</v>
      </c>
      <c r="G11" s="42" t="s">
        <v>125</v>
      </c>
      <c r="H11" s="41"/>
    </row>
    <row r="12" ht="99.0" customHeight="1">
      <c r="A12" s="43">
        <v>1.0</v>
      </c>
      <c r="B12" s="38" t="s">
        <v>220</v>
      </c>
      <c r="C12" s="44" t="s">
        <v>221</v>
      </c>
      <c r="D12" s="45" t="s">
        <v>201</v>
      </c>
      <c r="E12" s="66" t="s">
        <v>207</v>
      </c>
      <c r="F12" s="47"/>
      <c r="G12" s="47"/>
      <c r="H12" s="45"/>
    </row>
    <row r="13" ht="81.75" customHeight="1">
      <c r="A13" s="48"/>
      <c r="B13" s="48"/>
      <c r="C13" s="44" t="s">
        <v>222</v>
      </c>
      <c r="D13" s="46" t="s">
        <v>223</v>
      </c>
      <c r="E13" s="66" t="s">
        <v>224</v>
      </c>
      <c r="F13" s="47"/>
      <c r="G13" s="47"/>
      <c r="H13" s="45"/>
    </row>
    <row r="14" ht="55.5" customHeight="1">
      <c r="A14" s="48"/>
      <c r="B14" s="48"/>
      <c r="C14" s="44" t="s">
        <v>225</v>
      </c>
      <c r="D14" s="45" t="s">
        <v>226</v>
      </c>
      <c r="E14" s="66" t="s">
        <v>227</v>
      </c>
      <c r="F14" s="47"/>
      <c r="G14" s="47"/>
      <c r="H14" s="45"/>
    </row>
    <row r="15" ht="81.0" customHeight="1">
      <c r="A15" s="48"/>
      <c r="B15" s="48"/>
      <c r="C15" s="44" t="s">
        <v>228</v>
      </c>
      <c r="D15" s="45" t="s">
        <v>229</v>
      </c>
      <c r="E15" s="66" t="s">
        <v>230</v>
      </c>
      <c r="F15" s="47"/>
      <c r="G15" s="47"/>
      <c r="H15" s="45"/>
    </row>
    <row r="16" ht="21.0" customHeight="1">
      <c r="A16" s="68"/>
      <c r="B16" s="41"/>
      <c r="C16" s="44"/>
      <c r="D16" s="45"/>
      <c r="E16" s="45"/>
      <c r="F16" s="47"/>
      <c r="G16" s="47"/>
      <c r="H16" s="45"/>
    </row>
    <row r="17" ht="21.0" customHeight="1">
      <c r="A17" s="52"/>
      <c r="B17" s="52" t="s">
        <v>175</v>
      </c>
      <c r="C17" s="53"/>
      <c r="D17" s="52"/>
      <c r="E17" s="52"/>
      <c r="F17" s="54"/>
      <c r="G17" s="52"/>
      <c r="H17" s="54"/>
    </row>
    <row r="18" ht="21.0" customHeight="1">
      <c r="A18" s="55" t="s">
        <v>176</v>
      </c>
      <c r="B18" s="56"/>
      <c r="C18" s="56"/>
      <c r="D18" s="56"/>
      <c r="E18" s="56"/>
      <c r="F18" s="56"/>
      <c r="G18" s="56"/>
      <c r="H18" s="57"/>
    </row>
    <row r="19" ht="21.0" customHeight="1">
      <c r="A19" s="58"/>
      <c r="H19" s="59"/>
    </row>
    <row r="20" ht="21.0" customHeight="1">
      <c r="A20" s="58"/>
      <c r="H20" s="59"/>
    </row>
    <row r="21" ht="18.75" customHeight="1">
      <c r="A21" s="58"/>
      <c r="H21" s="59"/>
    </row>
    <row r="22" ht="18.75" customHeight="1">
      <c r="A22" s="58"/>
      <c r="H22" s="59"/>
    </row>
    <row r="23" ht="18.75" customHeight="1">
      <c r="A23" s="58"/>
      <c r="H23" s="59"/>
    </row>
    <row r="24" ht="18.75" customHeight="1">
      <c r="A24" s="58"/>
      <c r="H24" s="59"/>
    </row>
    <row r="25" ht="18.75" customHeight="1">
      <c r="A25" s="58"/>
      <c r="H25" s="59"/>
    </row>
    <row r="26" ht="18.75" customHeight="1">
      <c r="A26" s="58"/>
      <c r="H26" s="59"/>
    </row>
    <row r="27" ht="18.75" customHeight="1">
      <c r="A27" s="58"/>
      <c r="H27" s="59"/>
    </row>
    <row r="28" ht="18.75" customHeight="1">
      <c r="A28" s="58"/>
      <c r="H28" s="59"/>
    </row>
    <row r="29" ht="18.75" customHeight="1">
      <c r="A29" s="58"/>
      <c r="H29" s="59"/>
    </row>
    <row r="30" ht="18.75" customHeight="1">
      <c r="A30" s="60"/>
      <c r="B30" s="61"/>
      <c r="C30" s="61"/>
      <c r="D30" s="61"/>
      <c r="E30" s="61"/>
      <c r="F30" s="61"/>
      <c r="G30" s="61"/>
      <c r="H30" s="62"/>
    </row>
    <row r="31" ht="18.75" customHeight="1">
      <c r="A31" s="63" t="s">
        <v>177</v>
      </c>
      <c r="B31" s="56"/>
      <c r="C31" s="56"/>
      <c r="D31" s="56"/>
      <c r="E31" s="56"/>
      <c r="F31" s="56"/>
      <c r="G31" s="56"/>
      <c r="H31" s="57"/>
    </row>
    <row r="32" ht="18.75" customHeight="1">
      <c r="A32" s="58"/>
      <c r="H32" s="59"/>
    </row>
    <row r="33" ht="18.75" customHeight="1">
      <c r="A33" s="58"/>
      <c r="H33" s="59"/>
    </row>
    <row r="34" ht="18.75" customHeight="1">
      <c r="A34" s="60"/>
      <c r="B34" s="61"/>
      <c r="C34" s="61"/>
      <c r="D34" s="61"/>
      <c r="E34" s="61"/>
      <c r="F34" s="61"/>
      <c r="G34" s="61"/>
      <c r="H34" s="62"/>
    </row>
    <row r="35" ht="18.75" customHeight="1"/>
    <row r="36" ht="18.75" customHeight="1"/>
    <row r="37" ht="18.75" customHeight="1"/>
    <row r="38" ht="18.75" customHeight="1"/>
    <row r="39" ht="18.75" customHeight="1"/>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mergeCells count="17">
    <mergeCell ref="B10:B11"/>
    <mergeCell ref="C10:C11"/>
    <mergeCell ref="A12:A15"/>
    <mergeCell ref="B12:B16"/>
    <mergeCell ref="A18:H30"/>
    <mergeCell ref="A31:H34"/>
    <mergeCell ref="D10:D11"/>
    <mergeCell ref="E10:E11"/>
    <mergeCell ref="F10:G10"/>
    <mergeCell ref="H10:H11"/>
    <mergeCell ref="A2:C2"/>
    <mergeCell ref="E2:H2"/>
    <mergeCell ref="A3:C3"/>
    <mergeCell ref="E3:H3"/>
    <mergeCell ref="E4:H4"/>
    <mergeCell ref="A5:H5"/>
    <mergeCell ref="A10:A11"/>
  </mergeCells>
  <hyperlinks>
    <hyperlink display="Ấn để trở về sheet &quot; Danh mục&quot;" location="'DANH MỤC'!A1" ref="I5"/>
  </hyperlink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5.0"/>
    <col customWidth="1" min="2" max="2" width="14.0"/>
    <col customWidth="1" min="3" max="3" width="47.0"/>
    <col customWidth="1" hidden="1" min="4" max="4" width="20.0"/>
    <col customWidth="1" min="5" max="5" width="24.0"/>
    <col customWidth="1" min="6" max="7" width="9.0"/>
    <col customWidth="1" min="8" max="8" width="21.0"/>
    <col customWidth="1" min="9" max="9" width="43.0"/>
    <col customWidth="1" min="10" max="26" width="14.0"/>
  </cols>
  <sheetData>
    <row r="1" ht="21.0" customHeight="1">
      <c r="A1" s="19"/>
      <c r="B1" s="19"/>
      <c r="C1" s="20"/>
      <c r="D1" s="21"/>
      <c r="E1" s="21"/>
      <c r="F1" s="22"/>
      <c r="G1" s="21"/>
      <c r="H1" s="22"/>
    </row>
    <row r="2" ht="18.75" customHeight="1">
      <c r="A2" s="23" t="s">
        <v>111</v>
      </c>
      <c r="B2" s="24"/>
      <c r="C2" s="24"/>
      <c r="E2" s="26" t="s">
        <v>112</v>
      </c>
    </row>
    <row r="3" ht="21.0" customHeight="1">
      <c r="A3" s="1"/>
      <c r="E3" s="1" t="s">
        <v>113</v>
      </c>
    </row>
    <row r="4" ht="21.0" customHeight="1">
      <c r="E4" s="26" t="s">
        <v>114</v>
      </c>
    </row>
    <row r="5" ht="21.75" customHeight="1">
      <c r="A5" s="27" t="s">
        <v>115</v>
      </c>
      <c r="I5" s="28" t="s">
        <v>116</v>
      </c>
    </row>
    <row r="6" ht="21.75" customHeight="1">
      <c r="A6" s="29" t="s">
        <v>117</v>
      </c>
      <c r="B6" s="30"/>
      <c r="C6" s="31" t="str">
        <f>+'DANH MỤC'!A2</f>
        <v>Công trình:</v>
      </c>
      <c r="D6" s="32"/>
      <c r="E6" s="32"/>
      <c r="F6" s="32"/>
      <c r="G6" s="32"/>
      <c r="H6" s="32"/>
    </row>
    <row r="7" ht="21.75" customHeight="1">
      <c r="A7" s="29"/>
      <c r="B7" s="32"/>
      <c r="C7" s="33" t="str">
        <f>+'DANH MỤC'!A3</f>
        <v>Địa điểm:</v>
      </c>
      <c r="D7" s="32"/>
      <c r="E7" s="32"/>
      <c r="F7" s="32"/>
      <c r="G7" s="32"/>
      <c r="H7" s="32"/>
    </row>
    <row r="8" ht="21.75" customHeight="1">
      <c r="A8" s="29"/>
      <c r="B8" s="32"/>
      <c r="C8" s="33" t="str">
        <f>"Công tác"&amp;": "&amp;'DANH MỤC'!B12</f>
        <v>Công tác: Phá đầu cọc bê tông</v>
      </c>
      <c r="D8" s="32"/>
      <c r="E8" s="32"/>
      <c r="F8" s="32"/>
      <c r="G8" s="32"/>
      <c r="H8" s="32"/>
    </row>
    <row r="9" ht="21.75" customHeight="1">
      <c r="A9" s="34"/>
      <c r="B9" s="35"/>
      <c r="C9" s="36"/>
      <c r="D9" s="35"/>
      <c r="E9" s="35"/>
      <c r="F9" s="35"/>
      <c r="G9" s="35"/>
    </row>
    <row r="10" ht="21.75" customHeight="1">
      <c r="A10" s="37" t="s">
        <v>3</v>
      </c>
      <c r="B10" s="37" t="s">
        <v>118</v>
      </c>
      <c r="C10" s="38" t="s">
        <v>119</v>
      </c>
      <c r="D10" s="38" t="s">
        <v>120</v>
      </c>
      <c r="E10" s="38" t="s">
        <v>121</v>
      </c>
      <c r="F10" s="39" t="s">
        <v>122</v>
      </c>
      <c r="G10" s="40"/>
      <c r="H10" s="38" t="s">
        <v>123</v>
      </c>
    </row>
    <row r="11" ht="21.75" customHeight="1">
      <c r="A11" s="41"/>
      <c r="B11" s="41"/>
      <c r="C11" s="41"/>
      <c r="D11" s="41"/>
      <c r="E11" s="41"/>
      <c r="F11" s="42" t="s">
        <v>124</v>
      </c>
      <c r="G11" s="42" t="s">
        <v>125</v>
      </c>
      <c r="H11" s="41"/>
    </row>
    <row r="12" ht="99.0" customHeight="1">
      <c r="A12" s="43">
        <v>1.0</v>
      </c>
      <c r="B12" s="38" t="s">
        <v>231</v>
      </c>
      <c r="C12" s="44" t="s">
        <v>232</v>
      </c>
      <c r="D12" s="45" t="s">
        <v>201</v>
      </c>
      <c r="E12" s="46" t="s">
        <v>233</v>
      </c>
      <c r="F12" s="47"/>
      <c r="G12" s="47"/>
      <c r="H12" s="45"/>
    </row>
    <row r="13" ht="81.75" customHeight="1">
      <c r="A13" s="48"/>
      <c r="B13" s="48"/>
      <c r="C13" s="44" t="s">
        <v>234</v>
      </c>
      <c r="D13" s="45" t="s">
        <v>201</v>
      </c>
      <c r="E13" s="46" t="s">
        <v>207</v>
      </c>
      <c r="F13" s="47"/>
      <c r="G13" s="47"/>
      <c r="H13" s="45"/>
    </row>
    <row r="14" ht="40.5" customHeight="1">
      <c r="A14" s="48"/>
      <c r="B14" s="48"/>
      <c r="C14" s="44" t="s">
        <v>235</v>
      </c>
      <c r="D14" s="45" t="s">
        <v>226</v>
      </c>
      <c r="E14" s="46" t="s">
        <v>227</v>
      </c>
      <c r="F14" s="47"/>
      <c r="G14" s="47"/>
      <c r="H14" s="45"/>
    </row>
    <row r="15" ht="40.5" customHeight="1">
      <c r="A15" s="48"/>
      <c r="B15" s="48"/>
      <c r="C15" s="44" t="s">
        <v>236</v>
      </c>
      <c r="D15" s="45" t="s">
        <v>132</v>
      </c>
      <c r="E15" s="46" t="s">
        <v>237</v>
      </c>
      <c r="F15" s="47"/>
      <c r="G15" s="47"/>
      <c r="H15" s="45"/>
    </row>
    <row r="16" ht="93.0" customHeight="1">
      <c r="A16" s="48"/>
      <c r="B16" s="48"/>
      <c r="C16" s="44" t="s">
        <v>238</v>
      </c>
      <c r="D16" s="46" t="s">
        <v>239</v>
      </c>
      <c r="E16" s="46" t="s">
        <v>240</v>
      </c>
      <c r="F16" s="47"/>
      <c r="G16" s="47"/>
      <c r="H16" s="45"/>
    </row>
    <row r="17" ht="81.0" customHeight="1">
      <c r="A17" s="41"/>
      <c r="B17" s="41"/>
      <c r="C17" s="44" t="s">
        <v>241</v>
      </c>
      <c r="D17" s="45" t="s">
        <v>229</v>
      </c>
      <c r="E17" s="46" t="s">
        <v>242</v>
      </c>
      <c r="F17" s="47"/>
      <c r="G17" s="47"/>
      <c r="H17" s="45"/>
    </row>
    <row r="18" ht="21.0" customHeight="1">
      <c r="A18" s="52"/>
      <c r="B18" s="52" t="s">
        <v>175</v>
      </c>
      <c r="C18" s="53"/>
      <c r="D18" s="52"/>
      <c r="E18" s="52"/>
      <c r="F18" s="54"/>
      <c r="G18" s="52"/>
      <c r="H18" s="54"/>
    </row>
    <row r="19" ht="21.0" customHeight="1">
      <c r="A19" s="55" t="s">
        <v>176</v>
      </c>
      <c r="B19" s="56"/>
      <c r="C19" s="56"/>
      <c r="D19" s="56"/>
      <c r="E19" s="56"/>
      <c r="F19" s="56"/>
      <c r="G19" s="56"/>
      <c r="H19" s="57"/>
    </row>
    <row r="20" ht="21.0" customHeight="1">
      <c r="A20" s="58"/>
      <c r="H20" s="59"/>
    </row>
    <row r="21" ht="18.75" customHeight="1">
      <c r="A21" s="58"/>
      <c r="H21" s="59"/>
    </row>
    <row r="22" ht="18.75" customHeight="1">
      <c r="A22" s="58"/>
      <c r="H22" s="59"/>
    </row>
    <row r="23" ht="18.75" customHeight="1">
      <c r="A23" s="58"/>
      <c r="H23" s="59"/>
    </row>
    <row r="24" ht="18.75" customHeight="1">
      <c r="A24" s="58"/>
      <c r="H24" s="59"/>
    </row>
    <row r="25" ht="18.75" customHeight="1">
      <c r="A25" s="58"/>
      <c r="H25" s="59"/>
    </row>
    <row r="26" ht="18.75" customHeight="1">
      <c r="A26" s="58"/>
      <c r="H26" s="59"/>
    </row>
    <row r="27" ht="18.75" customHeight="1">
      <c r="A27" s="58"/>
      <c r="H27" s="59"/>
    </row>
    <row r="28" ht="18.75" customHeight="1">
      <c r="A28" s="58"/>
      <c r="H28" s="59"/>
    </row>
    <row r="29" ht="18.75" customHeight="1">
      <c r="A29" s="58"/>
      <c r="H29" s="59"/>
    </row>
    <row r="30" ht="18.75" customHeight="1">
      <c r="A30" s="58"/>
      <c r="H30" s="59"/>
    </row>
    <row r="31" ht="18.75" customHeight="1">
      <c r="A31" s="60"/>
      <c r="B31" s="61"/>
      <c r="C31" s="61"/>
      <c r="D31" s="61"/>
      <c r="E31" s="61"/>
      <c r="F31" s="61"/>
      <c r="G31" s="61"/>
      <c r="H31" s="62"/>
    </row>
    <row r="32" ht="18.75" customHeight="1">
      <c r="A32" s="63" t="s">
        <v>177</v>
      </c>
      <c r="B32" s="56"/>
      <c r="C32" s="56"/>
      <c r="D32" s="56"/>
      <c r="E32" s="56"/>
      <c r="F32" s="56"/>
      <c r="G32" s="56"/>
      <c r="H32" s="57"/>
    </row>
    <row r="33" ht="18.75" customHeight="1">
      <c r="A33" s="58"/>
      <c r="H33" s="59"/>
    </row>
    <row r="34" ht="18.75" customHeight="1">
      <c r="A34" s="58"/>
      <c r="H34" s="59"/>
    </row>
    <row r="35" ht="18.75" customHeight="1">
      <c r="A35" s="60"/>
      <c r="B35" s="61"/>
      <c r="C35" s="61"/>
      <c r="D35" s="61"/>
      <c r="E35" s="61"/>
      <c r="F35" s="61"/>
      <c r="G35" s="61"/>
      <c r="H35" s="62"/>
    </row>
    <row r="36" ht="18.75" customHeight="1"/>
    <row r="37" ht="18.75" customHeight="1"/>
    <row r="38" ht="18.75" customHeight="1"/>
    <row r="39" ht="18.75" customHeight="1"/>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mergeCells count="17">
    <mergeCell ref="B10:B11"/>
    <mergeCell ref="C10:C11"/>
    <mergeCell ref="A12:A17"/>
    <mergeCell ref="B12:B17"/>
    <mergeCell ref="A19:H31"/>
    <mergeCell ref="A32:H35"/>
    <mergeCell ref="D10:D11"/>
    <mergeCell ref="E10:E11"/>
    <mergeCell ref="F10:G10"/>
    <mergeCell ref="H10:H11"/>
    <mergeCell ref="A2:C2"/>
    <mergeCell ref="E2:H2"/>
    <mergeCell ref="A3:C3"/>
    <mergeCell ref="E3:H3"/>
    <mergeCell ref="E4:H4"/>
    <mergeCell ref="A5:H5"/>
    <mergeCell ref="A10:A11"/>
  </mergeCells>
  <hyperlinks>
    <hyperlink display="Ấn để trở về sheet &quot; Danh mục&quot;" location="'DANH MỤC'!A1" ref="I5"/>
  </hyperlink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5.0"/>
    <col customWidth="1" min="2" max="2" width="14.0"/>
    <col customWidth="1" min="3" max="3" width="48.0"/>
    <col customWidth="1" min="4" max="4" width="20.0"/>
    <col customWidth="1" min="5" max="5" width="25.0"/>
    <col customWidth="1" min="6" max="7" width="9.0"/>
    <col customWidth="1" min="8" max="8" width="21.0"/>
    <col customWidth="1" min="9" max="9" width="41.0"/>
    <col customWidth="1" min="10" max="26" width="14.0"/>
  </cols>
  <sheetData>
    <row r="1" ht="21.0" customHeight="1">
      <c r="A1" s="19"/>
      <c r="B1" s="19"/>
      <c r="C1" s="20"/>
      <c r="D1" s="21"/>
      <c r="E1" s="21"/>
      <c r="F1" s="22"/>
      <c r="G1" s="21"/>
      <c r="H1" s="22"/>
    </row>
    <row r="2" ht="18.75" customHeight="1">
      <c r="A2" s="69" t="s">
        <v>111</v>
      </c>
      <c r="D2" s="70"/>
      <c r="E2" s="26" t="s">
        <v>112</v>
      </c>
    </row>
    <row r="3" ht="21.0" customHeight="1">
      <c r="A3" s="1"/>
      <c r="D3" s="70"/>
      <c r="E3" s="1" t="s">
        <v>113</v>
      </c>
    </row>
    <row r="4" ht="21.0" customHeight="1">
      <c r="A4" s="70"/>
      <c r="B4" s="70"/>
      <c r="C4" s="70"/>
      <c r="D4" s="70"/>
      <c r="E4" s="26" t="s">
        <v>114</v>
      </c>
    </row>
    <row r="5" ht="21.75" customHeight="1">
      <c r="A5" s="27" t="s">
        <v>115</v>
      </c>
      <c r="I5" s="28" t="s">
        <v>116</v>
      </c>
    </row>
    <row r="6" ht="21.75" customHeight="1">
      <c r="A6" s="29" t="s">
        <v>117</v>
      </c>
      <c r="B6" s="30"/>
      <c r="C6" s="31" t="str">
        <f>+'DANH MỤC'!A2</f>
        <v>Công trình:</v>
      </c>
      <c r="D6" s="32"/>
      <c r="E6" s="32"/>
      <c r="F6" s="32"/>
      <c r="G6" s="32"/>
      <c r="H6" s="32"/>
    </row>
    <row r="7" ht="21.75" customHeight="1">
      <c r="A7" s="29"/>
      <c r="B7" s="32"/>
      <c r="C7" s="33" t="str">
        <f>+'DANH MỤC'!A3</f>
        <v>Địa điểm:</v>
      </c>
      <c r="D7" s="32"/>
      <c r="E7" s="32"/>
      <c r="F7" s="32"/>
      <c r="G7" s="32"/>
      <c r="H7" s="32"/>
    </row>
    <row r="8" ht="21.75" customHeight="1">
      <c r="A8" s="29"/>
      <c r="B8" s="32"/>
      <c r="C8" s="33" t="str">
        <f>"Công tác"&amp;": "&amp;'DANH MỤC'!B14</f>
        <v>Công tác: Định vị tim cọc, hạ ống casing</v>
      </c>
      <c r="D8" s="32"/>
      <c r="E8" s="32"/>
      <c r="F8" s="32"/>
      <c r="G8" s="32"/>
      <c r="H8" s="32"/>
    </row>
    <row r="9" ht="21.75" customHeight="1">
      <c r="A9" s="34"/>
      <c r="B9" s="35"/>
      <c r="C9" s="36"/>
      <c r="D9" s="35"/>
      <c r="E9" s="35"/>
      <c r="F9" s="35"/>
      <c r="G9" s="35"/>
    </row>
    <row r="10" ht="21.75" customHeight="1">
      <c r="A10" s="37" t="s">
        <v>3</v>
      </c>
      <c r="B10" s="37" t="s">
        <v>118</v>
      </c>
      <c r="C10" s="38" t="s">
        <v>119</v>
      </c>
      <c r="D10" s="38" t="s">
        <v>120</v>
      </c>
      <c r="E10" s="38" t="s">
        <v>121</v>
      </c>
      <c r="F10" s="39" t="s">
        <v>122</v>
      </c>
      <c r="G10" s="40"/>
      <c r="H10" s="38" t="s">
        <v>123</v>
      </c>
    </row>
    <row r="11" ht="21.75" customHeight="1">
      <c r="A11" s="41"/>
      <c r="B11" s="41"/>
      <c r="C11" s="41"/>
      <c r="D11" s="41"/>
      <c r="E11" s="41"/>
      <c r="F11" s="42" t="s">
        <v>124</v>
      </c>
      <c r="G11" s="42" t="s">
        <v>125</v>
      </c>
      <c r="H11" s="41"/>
    </row>
    <row r="12" ht="39.75" customHeight="1">
      <c r="A12" s="71">
        <v>1.0</v>
      </c>
      <c r="B12" s="72" t="s">
        <v>126</v>
      </c>
      <c r="C12" s="73" t="s">
        <v>243</v>
      </c>
      <c r="D12" s="45" t="s">
        <v>244</v>
      </c>
      <c r="E12" s="46"/>
      <c r="F12" s="47"/>
      <c r="G12" s="47"/>
      <c r="H12" s="45"/>
    </row>
    <row r="13" ht="207.0" customHeight="1">
      <c r="A13" s="74"/>
      <c r="B13" s="74"/>
      <c r="C13" s="73" t="s">
        <v>245</v>
      </c>
      <c r="D13" s="45" t="s">
        <v>246</v>
      </c>
      <c r="E13" s="75" t="s">
        <v>247</v>
      </c>
      <c r="F13" s="47"/>
      <c r="G13" s="47"/>
      <c r="H13" s="45" t="s">
        <v>248</v>
      </c>
    </row>
    <row r="14" ht="39.75" customHeight="1">
      <c r="A14" s="74"/>
      <c r="B14" s="74"/>
      <c r="C14" s="73" t="s">
        <v>249</v>
      </c>
      <c r="D14" s="45" t="s">
        <v>246</v>
      </c>
      <c r="E14" s="45" t="s">
        <v>250</v>
      </c>
      <c r="F14" s="47"/>
      <c r="G14" s="47"/>
      <c r="H14" s="45"/>
    </row>
    <row r="15" ht="42.0" customHeight="1">
      <c r="A15" s="74"/>
      <c r="B15" s="74"/>
      <c r="C15" s="73" t="s">
        <v>251</v>
      </c>
      <c r="D15" s="45" t="s">
        <v>246</v>
      </c>
      <c r="E15" s="45" t="s">
        <v>252</v>
      </c>
      <c r="F15" s="47"/>
      <c r="G15" s="47"/>
      <c r="H15" s="45" t="s">
        <v>248</v>
      </c>
    </row>
    <row r="16" ht="60.0" customHeight="1">
      <c r="A16" s="76"/>
      <c r="B16" s="76"/>
      <c r="C16" s="77" t="s">
        <v>253</v>
      </c>
      <c r="D16" s="45" t="s">
        <v>246</v>
      </c>
      <c r="E16" s="45" t="s">
        <v>133</v>
      </c>
      <c r="F16" s="47"/>
      <c r="G16" s="47"/>
      <c r="H16" s="45" t="s">
        <v>248</v>
      </c>
    </row>
    <row r="17" ht="21.0" customHeight="1">
      <c r="A17" s="78"/>
      <c r="B17" s="78" t="s">
        <v>175</v>
      </c>
      <c r="C17" s="53"/>
      <c r="D17" s="52"/>
      <c r="E17" s="52"/>
      <c r="F17" s="54"/>
      <c r="G17" s="52"/>
      <c r="H17" s="54"/>
    </row>
    <row r="18" ht="21.0" customHeight="1">
      <c r="A18" s="79" t="s">
        <v>176</v>
      </c>
      <c r="H18" s="59"/>
    </row>
    <row r="19" ht="21.0" customHeight="1">
      <c r="A19" s="58"/>
      <c r="H19" s="59"/>
    </row>
    <row r="20" ht="21.0" customHeight="1">
      <c r="A20" s="58"/>
      <c r="H20" s="59"/>
    </row>
    <row r="21" ht="18.75" customHeight="1">
      <c r="A21" s="58"/>
      <c r="H21" s="59"/>
    </row>
    <row r="22" ht="18.75" customHeight="1">
      <c r="A22" s="58"/>
      <c r="H22" s="59"/>
    </row>
    <row r="23" ht="18.75" customHeight="1">
      <c r="A23" s="58"/>
      <c r="H23" s="59"/>
    </row>
    <row r="24" ht="18.75" customHeight="1">
      <c r="A24" s="58"/>
      <c r="H24" s="59"/>
    </row>
    <row r="25" ht="18.75" customHeight="1">
      <c r="A25" s="58"/>
      <c r="H25" s="59"/>
    </row>
    <row r="26" ht="18.75" customHeight="1">
      <c r="A26" s="58"/>
      <c r="H26" s="59"/>
    </row>
    <row r="27" ht="18.75" customHeight="1">
      <c r="A27" s="58"/>
      <c r="H27" s="59"/>
    </row>
    <row r="28" ht="18.75" customHeight="1">
      <c r="A28" s="58"/>
      <c r="H28" s="59"/>
    </row>
    <row r="29" ht="18.75" customHeight="1">
      <c r="A29" s="58"/>
      <c r="H29" s="59"/>
    </row>
    <row r="30" ht="18.75" customHeight="1">
      <c r="A30" s="60"/>
      <c r="B30" s="61"/>
      <c r="C30" s="61"/>
      <c r="D30" s="61"/>
      <c r="E30" s="61"/>
      <c r="F30" s="61"/>
      <c r="G30" s="61"/>
      <c r="H30" s="62"/>
    </row>
    <row r="31" ht="18.75" customHeight="1">
      <c r="A31" s="63" t="s">
        <v>177</v>
      </c>
      <c r="B31" s="56"/>
      <c r="C31" s="56"/>
      <c r="D31" s="56"/>
      <c r="E31" s="56"/>
      <c r="F31" s="56"/>
      <c r="G31" s="56"/>
      <c r="H31" s="57"/>
    </row>
    <row r="32" ht="18.75" customHeight="1">
      <c r="A32" s="58"/>
      <c r="H32" s="59"/>
    </row>
    <row r="33" ht="18.75" customHeight="1">
      <c r="A33" s="58"/>
      <c r="H33" s="59"/>
    </row>
    <row r="34" ht="18.75" customHeight="1">
      <c r="A34" s="60"/>
      <c r="B34" s="61"/>
      <c r="C34" s="61"/>
      <c r="D34" s="61"/>
      <c r="E34" s="61"/>
      <c r="F34" s="61"/>
      <c r="G34" s="61"/>
      <c r="H34" s="62"/>
    </row>
    <row r="35" ht="18.75" customHeight="1"/>
    <row r="36" ht="18.75" customHeight="1"/>
    <row r="37" ht="18.75" customHeight="1"/>
    <row r="38" ht="18.75" customHeight="1"/>
    <row r="39" ht="18.75" customHeight="1"/>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mergeCells count="17">
    <mergeCell ref="B10:B11"/>
    <mergeCell ref="C10:C11"/>
    <mergeCell ref="A12:A16"/>
    <mergeCell ref="B12:B16"/>
    <mergeCell ref="A18:H30"/>
    <mergeCell ref="A31:H34"/>
    <mergeCell ref="D10:D11"/>
    <mergeCell ref="E10:E11"/>
    <mergeCell ref="F10:G10"/>
    <mergeCell ref="H10:H11"/>
    <mergeCell ref="A2:C2"/>
    <mergeCell ref="E2:H2"/>
    <mergeCell ref="A3:C3"/>
    <mergeCell ref="E3:H3"/>
    <mergeCell ref="E4:H4"/>
    <mergeCell ref="A5:H5"/>
    <mergeCell ref="A10:A11"/>
  </mergeCells>
  <hyperlinks>
    <hyperlink display="Ấn để trở về sheet &quot; Danh mục&quot;" location="'DANH MỤC'!A1" ref="I5"/>
  </hyperlink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5.0"/>
    <col customWidth="1" min="2" max="2" width="14.0"/>
    <col customWidth="1" min="3" max="3" width="48.0"/>
    <col customWidth="1" min="4" max="4" width="20.0"/>
    <col customWidth="1" min="5" max="5" width="35.0"/>
    <col customWidth="1" min="6" max="7" width="9.0"/>
    <col customWidth="1" min="8" max="8" width="21.0"/>
    <col customWidth="1" min="9" max="9" width="41.0"/>
    <col customWidth="1" min="10" max="26" width="14.0"/>
  </cols>
  <sheetData>
    <row r="1" ht="21.0" customHeight="1">
      <c r="A1" s="19"/>
      <c r="B1" s="19"/>
      <c r="C1" s="20"/>
      <c r="D1" s="21"/>
      <c r="E1" s="21"/>
      <c r="F1" s="22"/>
      <c r="G1" s="21"/>
      <c r="H1" s="22"/>
    </row>
    <row r="2" ht="18.75" customHeight="1">
      <c r="A2" s="69" t="s">
        <v>111</v>
      </c>
      <c r="D2" s="70"/>
      <c r="E2" s="26" t="s">
        <v>112</v>
      </c>
    </row>
    <row r="3" ht="21.0" customHeight="1">
      <c r="A3" s="1"/>
      <c r="D3" s="70"/>
      <c r="E3" s="1" t="s">
        <v>113</v>
      </c>
    </row>
    <row r="4" ht="21.0" customHeight="1">
      <c r="A4" s="70"/>
      <c r="B4" s="70"/>
      <c r="C4" s="70"/>
      <c r="D4" s="70"/>
      <c r="E4" s="26" t="s">
        <v>114</v>
      </c>
    </row>
    <row r="5" ht="21.75" customHeight="1">
      <c r="A5" s="27" t="s">
        <v>115</v>
      </c>
      <c r="I5" s="28" t="s">
        <v>116</v>
      </c>
    </row>
    <row r="6" ht="21.75" customHeight="1">
      <c r="A6" s="29" t="s">
        <v>117</v>
      </c>
      <c r="B6" s="30"/>
      <c r="C6" s="31" t="str">
        <f>+'DANH MỤC'!A2</f>
        <v>Công trình:</v>
      </c>
      <c r="D6" s="32"/>
      <c r="E6" s="32"/>
      <c r="F6" s="32"/>
      <c r="G6" s="32"/>
      <c r="H6" s="32"/>
    </row>
    <row r="7" ht="21.75" customHeight="1">
      <c r="A7" s="29"/>
      <c r="B7" s="32"/>
      <c r="C7" s="33" t="str">
        <f>+'DANH MỤC'!A3</f>
        <v>Địa điểm:</v>
      </c>
      <c r="D7" s="32"/>
      <c r="E7" s="32"/>
      <c r="F7" s="32"/>
      <c r="G7" s="32"/>
      <c r="H7" s="32"/>
    </row>
    <row r="8" ht="21.75" customHeight="1">
      <c r="A8" s="29"/>
      <c r="B8" s="32"/>
      <c r="C8" s="33" t="str">
        <f>"Công tác"&amp;": "&amp;'DANH MỤC'!B15</f>
        <v>Công tác: Công tác khoan tạo lỗ</v>
      </c>
      <c r="D8" s="32"/>
      <c r="E8" s="32"/>
      <c r="F8" s="32"/>
      <c r="G8" s="32"/>
      <c r="H8" s="32"/>
    </row>
    <row r="9" ht="21.75" customHeight="1">
      <c r="A9" s="34"/>
      <c r="B9" s="35"/>
      <c r="C9" s="36"/>
      <c r="D9" s="35"/>
      <c r="E9" s="35"/>
      <c r="F9" s="35"/>
      <c r="G9" s="35"/>
    </row>
    <row r="10" ht="21.75" customHeight="1">
      <c r="A10" s="37" t="s">
        <v>3</v>
      </c>
      <c r="B10" s="37" t="s">
        <v>118</v>
      </c>
      <c r="C10" s="38" t="s">
        <v>119</v>
      </c>
      <c r="D10" s="38" t="s">
        <v>120</v>
      </c>
      <c r="E10" s="38" t="s">
        <v>121</v>
      </c>
      <c r="F10" s="39" t="s">
        <v>122</v>
      </c>
      <c r="G10" s="40"/>
      <c r="H10" s="38" t="s">
        <v>123</v>
      </c>
    </row>
    <row r="11" ht="21.75" customHeight="1">
      <c r="A11" s="41"/>
      <c r="B11" s="41"/>
      <c r="C11" s="41"/>
      <c r="D11" s="41"/>
      <c r="E11" s="41"/>
      <c r="F11" s="42" t="s">
        <v>124</v>
      </c>
      <c r="G11" s="42" t="s">
        <v>125</v>
      </c>
      <c r="H11" s="41"/>
    </row>
    <row r="12" ht="46.5" customHeight="1">
      <c r="A12" s="43">
        <v>1.0</v>
      </c>
      <c r="B12" s="38" t="s">
        <v>21</v>
      </c>
      <c r="C12" s="44" t="s">
        <v>254</v>
      </c>
      <c r="D12" s="45" t="s">
        <v>255</v>
      </c>
      <c r="E12" s="45" t="s">
        <v>133</v>
      </c>
      <c r="F12" s="47"/>
      <c r="G12" s="47"/>
      <c r="H12" s="45" t="s">
        <v>248</v>
      </c>
    </row>
    <row r="13" ht="66.75" customHeight="1">
      <c r="A13" s="48"/>
      <c r="B13" s="48"/>
      <c r="C13" s="44" t="s">
        <v>256</v>
      </c>
      <c r="D13" s="45" t="s">
        <v>257</v>
      </c>
      <c r="E13" s="75" t="s">
        <v>133</v>
      </c>
      <c r="F13" s="47"/>
      <c r="G13" s="47"/>
      <c r="H13" s="45" t="s">
        <v>248</v>
      </c>
    </row>
    <row r="14" ht="111.0" customHeight="1">
      <c r="A14" s="48"/>
      <c r="B14" s="48"/>
      <c r="C14" s="44" t="s">
        <v>258</v>
      </c>
      <c r="D14" s="45" t="s">
        <v>259</v>
      </c>
      <c r="E14" s="75" t="s">
        <v>260</v>
      </c>
      <c r="F14" s="47"/>
      <c r="G14" s="47"/>
      <c r="H14" s="45" t="s">
        <v>248</v>
      </c>
    </row>
    <row r="15" ht="48.75" customHeight="1">
      <c r="A15" s="48"/>
      <c r="B15" s="48"/>
      <c r="C15" s="44" t="s">
        <v>261</v>
      </c>
      <c r="D15" s="45"/>
      <c r="E15" s="75" t="s">
        <v>250</v>
      </c>
      <c r="F15" s="47"/>
      <c r="G15" s="47"/>
      <c r="H15" s="45"/>
    </row>
    <row r="16" ht="69.0" customHeight="1">
      <c r="A16" s="48"/>
      <c r="B16" s="48"/>
      <c r="C16" s="44" t="s">
        <v>262</v>
      </c>
      <c r="D16" s="45" t="s">
        <v>263</v>
      </c>
      <c r="E16" s="75" t="s">
        <v>264</v>
      </c>
      <c r="F16" s="47"/>
      <c r="G16" s="47"/>
      <c r="H16" s="45"/>
    </row>
    <row r="17" ht="103.5" customHeight="1">
      <c r="A17" s="48"/>
      <c r="B17" s="48"/>
      <c r="C17" s="44" t="s">
        <v>265</v>
      </c>
      <c r="D17" s="45" t="s">
        <v>266</v>
      </c>
      <c r="E17" s="75" t="s">
        <v>260</v>
      </c>
      <c r="F17" s="47"/>
      <c r="G17" s="47"/>
      <c r="H17" s="45" t="s">
        <v>248</v>
      </c>
    </row>
    <row r="18" ht="57.0" customHeight="1">
      <c r="A18" s="48"/>
      <c r="B18" s="48"/>
      <c r="C18" s="44" t="s">
        <v>267</v>
      </c>
      <c r="D18" s="45" t="s">
        <v>263</v>
      </c>
      <c r="E18" s="80" t="s">
        <v>268</v>
      </c>
      <c r="F18" s="47"/>
      <c r="G18" s="47"/>
      <c r="H18" s="45" t="s">
        <v>248</v>
      </c>
    </row>
    <row r="19" ht="55.5" customHeight="1">
      <c r="A19" s="41"/>
      <c r="B19" s="41"/>
      <c r="C19" s="44" t="s">
        <v>269</v>
      </c>
      <c r="D19" s="45" t="s">
        <v>270</v>
      </c>
      <c r="E19" s="80" t="s">
        <v>271</v>
      </c>
      <c r="F19" s="47"/>
      <c r="G19" s="47"/>
      <c r="H19" s="45" t="s">
        <v>248</v>
      </c>
    </row>
    <row r="20" ht="21.0" customHeight="1">
      <c r="A20" s="52"/>
      <c r="B20" s="52" t="s">
        <v>175</v>
      </c>
      <c r="C20" s="53"/>
      <c r="D20" s="52"/>
      <c r="E20" s="52"/>
      <c r="F20" s="54"/>
      <c r="G20" s="52"/>
      <c r="H20" s="54"/>
    </row>
    <row r="21" ht="21.0" customHeight="1">
      <c r="A21" s="55" t="s">
        <v>176</v>
      </c>
      <c r="B21" s="56"/>
      <c r="C21" s="56"/>
      <c r="D21" s="56"/>
      <c r="E21" s="56"/>
      <c r="F21" s="56"/>
      <c r="G21" s="56"/>
      <c r="H21" s="57"/>
    </row>
    <row r="22" ht="18.75" customHeight="1">
      <c r="A22" s="58"/>
      <c r="H22" s="59"/>
    </row>
    <row r="23" ht="18.75" customHeight="1">
      <c r="A23" s="58"/>
      <c r="H23" s="59"/>
    </row>
    <row r="24" ht="18.75" customHeight="1">
      <c r="A24" s="58"/>
      <c r="H24" s="59"/>
    </row>
    <row r="25" ht="18.75" customHeight="1">
      <c r="A25" s="58"/>
      <c r="H25" s="59"/>
    </row>
    <row r="26" ht="18.75" customHeight="1">
      <c r="A26" s="58"/>
      <c r="H26" s="59"/>
    </row>
    <row r="27" ht="18.75" customHeight="1">
      <c r="A27" s="58"/>
      <c r="H27" s="59"/>
    </row>
    <row r="28" ht="18.75" customHeight="1">
      <c r="A28" s="58"/>
      <c r="H28" s="59"/>
    </row>
    <row r="29" ht="18.75" customHeight="1">
      <c r="A29" s="58"/>
      <c r="H29" s="59"/>
    </row>
    <row r="30" ht="18.75" customHeight="1">
      <c r="A30" s="58"/>
      <c r="H30" s="59"/>
    </row>
    <row r="31" ht="18.75" customHeight="1">
      <c r="A31" s="58"/>
      <c r="H31" s="59"/>
    </row>
    <row r="32" ht="18.75" customHeight="1">
      <c r="A32" s="58"/>
      <c r="H32" s="59"/>
    </row>
    <row r="33" ht="18.75" customHeight="1">
      <c r="A33" s="60"/>
      <c r="B33" s="61"/>
      <c r="C33" s="61"/>
      <c r="D33" s="61"/>
      <c r="E33" s="61"/>
      <c r="F33" s="61"/>
      <c r="G33" s="61"/>
      <c r="H33" s="62"/>
    </row>
    <row r="34" ht="18.75" customHeight="1">
      <c r="A34" s="63" t="s">
        <v>177</v>
      </c>
      <c r="B34" s="56"/>
      <c r="C34" s="56"/>
      <c r="D34" s="56"/>
      <c r="E34" s="56"/>
      <c r="F34" s="56"/>
      <c r="G34" s="56"/>
      <c r="H34" s="57"/>
    </row>
    <row r="35" ht="18.75" customHeight="1">
      <c r="A35" s="58"/>
      <c r="H35" s="59"/>
    </row>
    <row r="36" ht="18.75" customHeight="1">
      <c r="A36" s="58"/>
      <c r="H36" s="59"/>
    </row>
    <row r="37" ht="18.75" customHeight="1">
      <c r="A37" s="60"/>
      <c r="B37" s="61"/>
      <c r="C37" s="61"/>
      <c r="D37" s="61"/>
      <c r="E37" s="61"/>
      <c r="F37" s="61"/>
      <c r="G37" s="61"/>
      <c r="H37" s="62"/>
    </row>
    <row r="38" ht="18.75" customHeight="1"/>
    <row r="39" ht="18.75" customHeight="1"/>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mergeCells count="17">
    <mergeCell ref="B10:B11"/>
    <mergeCell ref="C10:C11"/>
    <mergeCell ref="A12:A19"/>
    <mergeCell ref="B12:B19"/>
    <mergeCell ref="A21:H33"/>
    <mergeCell ref="A34:H37"/>
    <mergeCell ref="D10:D11"/>
    <mergeCell ref="E10:E11"/>
    <mergeCell ref="F10:G10"/>
    <mergeCell ref="H10:H11"/>
    <mergeCell ref="A2:C2"/>
    <mergeCell ref="E2:H2"/>
    <mergeCell ref="A3:C3"/>
    <mergeCell ref="E3:H3"/>
    <mergeCell ref="E4:H4"/>
    <mergeCell ref="A5:H5"/>
    <mergeCell ref="A10:A11"/>
  </mergeCells>
  <hyperlinks>
    <hyperlink display="Ấn để trở về sheet &quot; Danh mục&quot;" location="'DANH MỤC'!A1" ref="I5"/>
  </hyperlink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5.0"/>
    <col customWidth="1" min="2" max="2" width="14.0"/>
    <col customWidth="1" min="3" max="3" width="48.0"/>
    <col customWidth="1" min="4" max="4" width="20.0"/>
    <col customWidth="1" min="5" max="5" width="35.0"/>
    <col customWidth="1" min="6" max="7" width="9.0"/>
    <col customWidth="1" min="8" max="8" width="21.0"/>
    <col customWidth="1" min="9" max="9" width="42.0"/>
    <col customWidth="1" min="10" max="26" width="14.0"/>
  </cols>
  <sheetData>
    <row r="1" ht="21.0" customHeight="1">
      <c r="A1" s="19"/>
      <c r="B1" s="19"/>
      <c r="C1" s="20"/>
      <c r="D1" s="21"/>
      <c r="E1" s="21"/>
      <c r="F1" s="22"/>
      <c r="G1" s="21"/>
      <c r="H1" s="22"/>
    </row>
    <row r="2" ht="18.75" customHeight="1">
      <c r="A2" s="69" t="s">
        <v>111</v>
      </c>
      <c r="D2" s="70"/>
      <c r="E2" s="26" t="s">
        <v>112</v>
      </c>
    </row>
    <row r="3" ht="21.0" customHeight="1">
      <c r="A3" s="1"/>
      <c r="D3" s="70"/>
      <c r="E3" s="1" t="s">
        <v>113</v>
      </c>
    </row>
    <row r="4" ht="21.0" customHeight="1">
      <c r="A4" s="70"/>
      <c r="B4" s="70"/>
      <c r="C4" s="70"/>
      <c r="D4" s="70"/>
      <c r="E4" s="26" t="s">
        <v>114</v>
      </c>
    </row>
    <row r="5" ht="21.75" customHeight="1">
      <c r="A5" s="27" t="s">
        <v>115</v>
      </c>
      <c r="I5" s="28" t="s">
        <v>116</v>
      </c>
    </row>
    <row r="6" ht="21.75" customHeight="1">
      <c r="A6" s="29" t="s">
        <v>117</v>
      </c>
      <c r="B6" s="30"/>
      <c r="C6" s="31" t="str">
        <f>+'DANH MỤC'!A2</f>
        <v>Công trình:</v>
      </c>
      <c r="D6" s="32"/>
      <c r="E6" s="32"/>
      <c r="F6" s="32"/>
      <c r="G6" s="32"/>
      <c r="H6" s="32"/>
    </row>
    <row r="7" ht="21.75" customHeight="1">
      <c r="A7" s="29"/>
      <c r="B7" s="32"/>
      <c r="C7" s="33" t="str">
        <f>+'DANH MỤC'!A3</f>
        <v>Địa điểm:</v>
      </c>
      <c r="D7" s="32"/>
      <c r="E7" s="32"/>
      <c r="F7" s="32"/>
      <c r="G7" s="32"/>
      <c r="H7" s="32"/>
    </row>
    <row r="8" ht="21.75" customHeight="1">
      <c r="A8" s="29"/>
      <c r="B8" s="32"/>
      <c r="C8" s="33" t="str">
        <f>"Công tác"&amp;": "&amp;'DANH MỤC'!B16</f>
        <v>Công tác: Kiểm tra nghiệm thu lồng thép</v>
      </c>
      <c r="D8" s="32"/>
      <c r="E8" s="32"/>
      <c r="F8" s="32"/>
      <c r="G8" s="32"/>
      <c r="H8" s="32"/>
    </row>
    <row r="9" ht="21.75" customHeight="1">
      <c r="A9" s="34"/>
      <c r="B9" s="35"/>
      <c r="C9" s="36"/>
      <c r="D9" s="35"/>
      <c r="E9" s="35"/>
      <c r="F9" s="35"/>
      <c r="G9" s="35"/>
    </row>
    <row r="10" ht="21.75" customHeight="1">
      <c r="A10" s="37" t="s">
        <v>3</v>
      </c>
      <c r="B10" s="37" t="s">
        <v>118</v>
      </c>
      <c r="C10" s="38" t="s">
        <v>119</v>
      </c>
      <c r="D10" s="38" t="s">
        <v>120</v>
      </c>
      <c r="E10" s="38" t="s">
        <v>121</v>
      </c>
      <c r="F10" s="39" t="s">
        <v>122</v>
      </c>
      <c r="G10" s="40"/>
      <c r="H10" s="38" t="s">
        <v>123</v>
      </c>
    </row>
    <row r="11" ht="21.75" customHeight="1">
      <c r="A11" s="41"/>
      <c r="B11" s="41"/>
      <c r="C11" s="41"/>
      <c r="D11" s="41"/>
      <c r="E11" s="41"/>
      <c r="F11" s="42" t="s">
        <v>124</v>
      </c>
      <c r="G11" s="42" t="s">
        <v>125</v>
      </c>
      <c r="H11" s="41"/>
    </row>
    <row r="12" ht="124.5" customHeight="1">
      <c r="A12" s="43">
        <v>1.0</v>
      </c>
      <c r="B12" s="38" t="s">
        <v>272</v>
      </c>
      <c r="C12" s="81" t="s">
        <v>273</v>
      </c>
      <c r="D12" s="82" t="s">
        <v>274</v>
      </c>
      <c r="E12" s="83" t="s">
        <v>275</v>
      </c>
      <c r="F12" s="47"/>
      <c r="G12" s="47"/>
      <c r="H12" s="45" t="s">
        <v>248</v>
      </c>
    </row>
    <row r="13" ht="66.75" customHeight="1">
      <c r="A13" s="48"/>
      <c r="B13" s="48"/>
      <c r="C13" s="84" t="s">
        <v>276</v>
      </c>
      <c r="D13" s="85" t="s">
        <v>277</v>
      </c>
      <c r="E13" s="75" t="s">
        <v>278</v>
      </c>
      <c r="F13" s="47"/>
      <c r="G13" s="47"/>
      <c r="H13" s="45"/>
    </row>
    <row r="14" ht="111.0" customHeight="1">
      <c r="A14" s="41"/>
      <c r="B14" s="41"/>
      <c r="C14" s="86" t="s">
        <v>279</v>
      </c>
      <c r="D14" s="87" t="s">
        <v>280</v>
      </c>
      <c r="E14" s="75" t="s">
        <v>278</v>
      </c>
      <c r="F14" s="47"/>
      <c r="G14" s="47"/>
      <c r="H14" s="45"/>
    </row>
    <row r="15" ht="21.0" customHeight="1">
      <c r="A15" s="52"/>
      <c r="B15" s="52" t="s">
        <v>175</v>
      </c>
      <c r="C15" s="53"/>
      <c r="D15" s="52"/>
      <c r="E15" s="52"/>
      <c r="F15" s="54"/>
      <c r="G15" s="52"/>
      <c r="H15" s="54"/>
    </row>
    <row r="16" ht="21.0" customHeight="1">
      <c r="A16" s="55" t="s">
        <v>176</v>
      </c>
      <c r="B16" s="56"/>
      <c r="C16" s="56"/>
      <c r="D16" s="56"/>
      <c r="E16" s="56"/>
      <c r="F16" s="56"/>
      <c r="G16" s="56"/>
      <c r="H16" s="57"/>
    </row>
    <row r="17" ht="21.0" customHeight="1">
      <c r="A17" s="58"/>
      <c r="H17" s="59"/>
    </row>
    <row r="18" ht="21.0" customHeight="1">
      <c r="A18" s="58"/>
      <c r="H18" s="59"/>
    </row>
    <row r="19" ht="21.0" customHeight="1">
      <c r="A19" s="58"/>
      <c r="H19" s="59"/>
    </row>
    <row r="20" ht="21.0" customHeight="1">
      <c r="A20" s="58"/>
      <c r="H20" s="59"/>
    </row>
    <row r="21" ht="18.75" customHeight="1">
      <c r="A21" s="58"/>
      <c r="H21" s="59"/>
    </row>
    <row r="22" ht="18.75" customHeight="1">
      <c r="A22" s="58"/>
      <c r="H22" s="59"/>
    </row>
    <row r="23" ht="18.75" customHeight="1">
      <c r="A23" s="58"/>
      <c r="H23" s="59"/>
    </row>
    <row r="24" ht="18.75" customHeight="1">
      <c r="A24" s="58"/>
      <c r="H24" s="59"/>
    </row>
    <row r="25" ht="18.75" customHeight="1">
      <c r="A25" s="58"/>
      <c r="H25" s="59"/>
    </row>
    <row r="26" ht="18.75" customHeight="1">
      <c r="A26" s="58"/>
      <c r="H26" s="59"/>
    </row>
    <row r="27" ht="18.75" customHeight="1">
      <c r="A27" s="58"/>
      <c r="H27" s="59"/>
    </row>
    <row r="28" ht="18.75" customHeight="1">
      <c r="A28" s="60"/>
      <c r="B28" s="61"/>
      <c r="C28" s="61"/>
      <c r="D28" s="61"/>
      <c r="E28" s="61"/>
      <c r="F28" s="61"/>
      <c r="G28" s="61"/>
      <c r="H28" s="62"/>
    </row>
    <row r="29" ht="18.75" customHeight="1">
      <c r="A29" s="63" t="s">
        <v>177</v>
      </c>
      <c r="B29" s="56"/>
      <c r="C29" s="56"/>
      <c r="D29" s="56"/>
      <c r="E29" s="56"/>
      <c r="F29" s="56"/>
      <c r="G29" s="56"/>
      <c r="H29" s="57"/>
    </row>
    <row r="30" ht="18.75" customHeight="1">
      <c r="A30" s="58"/>
      <c r="H30" s="59"/>
    </row>
    <row r="31" ht="18.75" customHeight="1">
      <c r="A31" s="58"/>
      <c r="H31" s="59"/>
    </row>
    <row r="32" ht="18.75" customHeight="1">
      <c r="A32" s="60"/>
      <c r="B32" s="61"/>
      <c r="C32" s="61"/>
      <c r="D32" s="61"/>
      <c r="E32" s="61"/>
      <c r="F32" s="61"/>
      <c r="G32" s="61"/>
      <c r="H32" s="62"/>
    </row>
    <row r="33" ht="18.75" customHeight="1"/>
    <row r="34" ht="18.75" customHeight="1"/>
    <row r="35" ht="18.75" customHeight="1"/>
    <row r="36" ht="18.75" customHeight="1"/>
    <row r="37" ht="18.75" customHeight="1"/>
    <row r="38" ht="18.75" customHeight="1"/>
    <row r="39" ht="18.75" customHeight="1"/>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mergeCells count="17">
    <mergeCell ref="B10:B11"/>
    <mergeCell ref="C10:C11"/>
    <mergeCell ref="A12:A14"/>
    <mergeCell ref="B12:B14"/>
    <mergeCell ref="D10:D11"/>
    <mergeCell ref="E10:E11"/>
    <mergeCell ref="F10:G10"/>
    <mergeCell ref="H10:H11"/>
    <mergeCell ref="A16:H28"/>
    <mergeCell ref="A29:H32"/>
    <mergeCell ref="A2:C2"/>
    <mergeCell ref="E2:H2"/>
    <mergeCell ref="A3:C3"/>
    <mergeCell ref="E3:H3"/>
    <mergeCell ref="E4:H4"/>
    <mergeCell ref="A5:H5"/>
    <mergeCell ref="A10:A11"/>
  </mergeCells>
  <hyperlinks>
    <hyperlink display="Ấn để trở về sheet &quot; Danh mục&quot;" location="'DANH MỤC'!A1" ref="I5"/>
  </hyperlink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5.0"/>
    <col customWidth="1" min="2" max="2" width="14.0"/>
    <col customWidth="1" min="3" max="3" width="48.0"/>
    <col customWidth="1" min="4" max="4" width="20.0"/>
    <col customWidth="1" min="5" max="5" width="35.0"/>
    <col customWidth="1" min="6" max="7" width="9.0"/>
    <col customWidth="1" min="8" max="8" width="21.0"/>
    <col customWidth="1" min="9" max="9" width="42.0"/>
    <col customWidth="1" min="10" max="26" width="14.0"/>
  </cols>
  <sheetData>
    <row r="1" ht="21.0" customHeight="1">
      <c r="A1" s="19"/>
      <c r="B1" s="19"/>
      <c r="C1" s="20"/>
      <c r="D1" s="21"/>
      <c r="E1" s="21"/>
      <c r="F1" s="22"/>
      <c r="G1" s="21"/>
      <c r="H1" s="22"/>
    </row>
    <row r="2" ht="18.75" customHeight="1">
      <c r="A2" s="69" t="s">
        <v>111</v>
      </c>
      <c r="D2" s="70"/>
      <c r="E2" s="26" t="s">
        <v>112</v>
      </c>
    </row>
    <row r="3" ht="21.0" customHeight="1">
      <c r="A3" s="1"/>
      <c r="D3" s="70"/>
      <c r="E3" s="1" t="s">
        <v>113</v>
      </c>
    </row>
    <row r="4" ht="21.0" customHeight="1">
      <c r="A4" s="70"/>
      <c r="B4" s="70"/>
      <c r="C4" s="70"/>
      <c r="D4" s="70"/>
      <c r="E4" s="26" t="s">
        <v>114</v>
      </c>
    </row>
    <row r="5" ht="21.75" customHeight="1">
      <c r="A5" s="27" t="s">
        <v>115</v>
      </c>
      <c r="I5" s="28" t="s">
        <v>116</v>
      </c>
    </row>
    <row r="6" ht="21.75" customHeight="1">
      <c r="A6" s="29" t="s">
        <v>117</v>
      </c>
      <c r="B6" s="30"/>
      <c r="C6" s="31" t="str">
        <f>+'DANH MỤC'!A2</f>
        <v>Công trình:</v>
      </c>
      <c r="D6" s="32"/>
      <c r="E6" s="32"/>
      <c r="F6" s="32"/>
      <c r="G6" s="32"/>
      <c r="H6" s="32"/>
    </row>
    <row r="7" ht="21.75" customHeight="1">
      <c r="A7" s="29"/>
      <c r="B7" s="32"/>
      <c r="C7" s="33" t="str">
        <f>+'DANH MỤC'!A3</f>
        <v>Địa điểm:</v>
      </c>
      <c r="D7" s="32"/>
      <c r="E7" s="32"/>
      <c r="F7" s="32"/>
      <c r="G7" s="32"/>
      <c r="H7" s="32"/>
    </row>
    <row r="8" ht="21.75" customHeight="1">
      <c r="A8" s="29"/>
      <c r="B8" s="32"/>
      <c r="C8" s="33" t="str">
        <f>"Công tác"&amp;": "&amp;'DANH MỤC'!B17</f>
        <v>Công tác: Kiểm tra công tác vét lắng, dung dịch giữ thành hố khoan</v>
      </c>
      <c r="D8" s="32"/>
      <c r="E8" s="32"/>
      <c r="F8" s="32"/>
      <c r="G8" s="32"/>
      <c r="H8" s="32"/>
    </row>
    <row r="9" ht="21.75" customHeight="1">
      <c r="A9" s="34"/>
      <c r="B9" s="35"/>
      <c r="C9" s="36"/>
      <c r="D9" s="35"/>
      <c r="E9" s="35"/>
      <c r="F9" s="35"/>
      <c r="G9" s="35"/>
    </row>
    <row r="10" ht="21.75" customHeight="1">
      <c r="A10" s="37" t="s">
        <v>3</v>
      </c>
      <c r="B10" s="37" t="s">
        <v>118</v>
      </c>
      <c r="C10" s="38" t="s">
        <v>119</v>
      </c>
      <c r="D10" s="38" t="s">
        <v>120</v>
      </c>
      <c r="E10" s="38" t="s">
        <v>121</v>
      </c>
      <c r="F10" s="39" t="s">
        <v>122</v>
      </c>
      <c r="G10" s="40"/>
      <c r="H10" s="38" t="s">
        <v>123</v>
      </c>
    </row>
    <row r="11" ht="21.75" customHeight="1">
      <c r="A11" s="41"/>
      <c r="B11" s="41"/>
      <c r="C11" s="41"/>
      <c r="D11" s="41"/>
      <c r="E11" s="41"/>
      <c r="F11" s="42" t="s">
        <v>124</v>
      </c>
      <c r="G11" s="42" t="s">
        <v>125</v>
      </c>
      <c r="H11" s="41"/>
    </row>
    <row r="12" ht="102.75" customHeight="1">
      <c r="A12" s="43">
        <v>1.0</v>
      </c>
      <c r="B12" s="38" t="s">
        <v>281</v>
      </c>
      <c r="C12" s="44" t="s">
        <v>282</v>
      </c>
      <c r="D12" s="85" t="s">
        <v>283</v>
      </c>
      <c r="E12" s="88" t="s">
        <v>284</v>
      </c>
      <c r="F12" s="47"/>
      <c r="G12" s="47"/>
      <c r="H12" s="45"/>
    </row>
    <row r="13" ht="114.0" customHeight="1">
      <c r="A13" s="48"/>
      <c r="B13" s="48"/>
      <c r="C13" s="84" t="s">
        <v>285</v>
      </c>
      <c r="D13" s="85" t="s">
        <v>266</v>
      </c>
      <c r="E13" s="88" t="s">
        <v>286</v>
      </c>
      <c r="F13" s="47"/>
      <c r="G13" s="47"/>
      <c r="H13" s="45" t="s">
        <v>248</v>
      </c>
    </row>
    <row r="14" ht="111.0" customHeight="1">
      <c r="A14" s="48"/>
      <c r="B14" s="48"/>
      <c r="C14" s="84" t="s">
        <v>287</v>
      </c>
      <c r="D14" s="85" t="s">
        <v>266</v>
      </c>
      <c r="E14" s="88" t="s">
        <v>288</v>
      </c>
      <c r="F14" s="47"/>
      <c r="G14" s="47"/>
      <c r="H14" s="45" t="s">
        <v>248</v>
      </c>
    </row>
    <row r="15" ht="21.0" customHeight="1">
      <c r="A15" s="41"/>
      <c r="B15" s="41"/>
      <c r="C15" s="49"/>
      <c r="D15" s="45"/>
      <c r="E15" s="45"/>
      <c r="F15" s="47"/>
      <c r="G15" s="47"/>
      <c r="H15" s="46"/>
    </row>
    <row r="16" ht="21.0" customHeight="1">
      <c r="A16" s="52"/>
      <c r="B16" s="52" t="s">
        <v>175</v>
      </c>
      <c r="C16" s="53"/>
      <c r="D16" s="52"/>
      <c r="E16" s="52"/>
      <c r="F16" s="54"/>
      <c r="G16" s="52"/>
      <c r="H16" s="54"/>
    </row>
    <row r="17" ht="21.0" customHeight="1">
      <c r="A17" s="55" t="s">
        <v>176</v>
      </c>
      <c r="B17" s="56"/>
      <c r="C17" s="56"/>
      <c r="D17" s="56"/>
      <c r="E17" s="56"/>
      <c r="F17" s="56"/>
      <c r="G17" s="56"/>
      <c r="H17" s="57"/>
    </row>
    <row r="18" ht="21.0" customHeight="1">
      <c r="A18" s="58"/>
      <c r="H18" s="59"/>
    </row>
    <row r="19" ht="21.0" customHeight="1">
      <c r="A19" s="58"/>
      <c r="H19" s="59"/>
    </row>
    <row r="20" ht="21.0" customHeight="1">
      <c r="A20" s="58"/>
      <c r="H20" s="59"/>
    </row>
    <row r="21" ht="18.75" customHeight="1">
      <c r="A21" s="58"/>
      <c r="H21" s="59"/>
    </row>
    <row r="22" ht="18.75" customHeight="1">
      <c r="A22" s="58"/>
      <c r="H22" s="59"/>
    </row>
    <row r="23" ht="18.75" customHeight="1">
      <c r="A23" s="58"/>
      <c r="H23" s="59"/>
    </row>
    <row r="24" ht="18.75" customHeight="1">
      <c r="A24" s="58"/>
      <c r="H24" s="59"/>
    </row>
    <row r="25" ht="18.75" customHeight="1">
      <c r="A25" s="58"/>
      <c r="H25" s="59"/>
    </row>
    <row r="26" ht="18.75" customHeight="1">
      <c r="A26" s="58"/>
      <c r="H26" s="59"/>
    </row>
    <row r="27" ht="18.75" customHeight="1">
      <c r="A27" s="58"/>
      <c r="H27" s="59"/>
    </row>
    <row r="28" ht="18.75" customHeight="1">
      <c r="A28" s="58"/>
      <c r="H28" s="59"/>
    </row>
    <row r="29" ht="18.75" customHeight="1">
      <c r="A29" s="60"/>
      <c r="B29" s="61"/>
      <c r="C29" s="61"/>
      <c r="D29" s="61"/>
      <c r="E29" s="61"/>
      <c r="F29" s="61"/>
      <c r="G29" s="61"/>
      <c r="H29" s="62"/>
    </row>
    <row r="30" ht="18.75" customHeight="1">
      <c r="A30" s="63" t="s">
        <v>177</v>
      </c>
      <c r="B30" s="56"/>
      <c r="C30" s="56"/>
      <c r="D30" s="56"/>
      <c r="E30" s="56"/>
      <c r="F30" s="56"/>
      <c r="G30" s="56"/>
      <c r="H30" s="57"/>
    </row>
    <row r="31" ht="18.75" customHeight="1">
      <c r="A31" s="58"/>
      <c r="H31" s="59"/>
    </row>
    <row r="32" ht="18.75" customHeight="1">
      <c r="A32" s="58"/>
      <c r="H32" s="59"/>
    </row>
    <row r="33" ht="18.75" customHeight="1">
      <c r="A33" s="60"/>
      <c r="B33" s="61"/>
      <c r="C33" s="61"/>
      <c r="D33" s="61"/>
      <c r="E33" s="61"/>
      <c r="F33" s="61"/>
      <c r="G33" s="61"/>
      <c r="H33" s="62"/>
    </row>
    <row r="34" ht="18.75" customHeight="1"/>
    <row r="35" ht="18.75" customHeight="1"/>
    <row r="36" ht="18.75" customHeight="1"/>
    <row r="37" ht="18.75" customHeight="1"/>
    <row r="38" ht="18.75" customHeight="1"/>
    <row r="39" ht="18.75" customHeight="1"/>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mergeCells count="17">
    <mergeCell ref="B10:B11"/>
    <mergeCell ref="C10:C11"/>
    <mergeCell ref="A12:A15"/>
    <mergeCell ref="B12:B15"/>
    <mergeCell ref="A17:H29"/>
    <mergeCell ref="A30:H33"/>
    <mergeCell ref="D10:D11"/>
    <mergeCell ref="E10:E11"/>
    <mergeCell ref="F10:G10"/>
    <mergeCell ref="H10:H11"/>
    <mergeCell ref="A2:C2"/>
    <mergeCell ref="E2:H2"/>
    <mergeCell ref="A3:C3"/>
    <mergeCell ref="E3:H3"/>
    <mergeCell ref="E4:H4"/>
    <mergeCell ref="A5:H5"/>
    <mergeCell ref="A10:A11"/>
  </mergeCells>
  <hyperlinks>
    <hyperlink display="Ấn để trở về sheet &quot; Danh mục&quot;" location="'DANH MỤC'!A1" ref="I5"/>
  </hyperlink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5.0"/>
    <col customWidth="1" min="2" max="2" width="14.0"/>
    <col customWidth="1" min="3" max="3" width="48.0"/>
    <col customWidth="1" min="4" max="4" width="20.0"/>
    <col customWidth="1" min="5" max="5" width="35.0"/>
    <col customWidth="1" min="6" max="7" width="9.0"/>
    <col customWidth="1" min="8" max="8" width="21.0"/>
    <col customWidth="1" min="9" max="9" width="42.0"/>
    <col customWidth="1" min="10" max="26" width="14.0"/>
  </cols>
  <sheetData>
    <row r="1" ht="21.0" customHeight="1">
      <c r="A1" s="19"/>
      <c r="B1" s="19"/>
      <c r="C1" s="20"/>
      <c r="D1" s="21"/>
      <c r="E1" s="21"/>
      <c r="F1" s="22"/>
      <c r="G1" s="21"/>
      <c r="H1" s="22"/>
    </row>
    <row r="2" ht="18.75" customHeight="1">
      <c r="A2" s="69" t="s">
        <v>111</v>
      </c>
      <c r="D2" s="70"/>
      <c r="E2" s="26" t="s">
        <v>112</v>
      </c>
    </row>
    <row r="3" ht="21.0" customHeight="1">
      <c r="A3" s="1"/>
      <c r="D3" s="70"/>
      <c r="E3" s="1" t="s">
        <v>113</v>
      </c>
    </row>
    <row r="4" ht="21.0" customHeight="1">
      <c r="A4" s="70"/>
      <c r="B4" s="70"/>
      <c r="C4" s="70"/>
      <c r="D4" s="70"/>
      <c r="E4" s="26" t="s">
        <v>114</v>
      </c>
    </row>
    <row r="5" ht="21.75" customHeight="1">
      <c r="A5" s="27" t="s">
        <v>115</v>
      </c>
      <c r="I5" s="28" t="s">
        <v>116</v>
      </c>
    </row>
    <row r="6" ht="21.75" customHeight="1">
      <c r="A6" s="29" t="s">
        <v>117</v>
      </c>
      <c r="B6" s="30"/>
      <c r="C6" s="31" t="str">
        <f>+'DANH MỤC'!A2</f>
        <v>Công trình:</v>
      </c>
      <c r="D6" s="32"/>
      <c r="E6" s="32"/>
      <c r="F6" s="32"/>
      <c r="G6" s="32"/>
      <c r="H6" s="32"/>
    </row>
    <row r="7" ht="21.75" customHeight="1">
      <c r="A7" s="29"/>
      <c r="B7" s="32"/>
      <c r="C7" s="33" t="str">
        <f>+'DANH MỤC'!A3</f>
        <v>Địa điểm:</v>
      </c>
      <c r="D7" s="32"/>
      <c r="E7" s="32"/>
      <c r="F7" s="32"/>
      <c r="G7" s="32"/>
      <c r="H7" s="32"/>
    </row>
    <row r="8" ht="21.75" customHeight="1">
      <c r="A8" s="29"/>
      <c r="B8" s="32"/>
      <c r="C8" s="33" t="str">
        <f>"Công tác"&amp;": "&amp;'DANH MỤC'!B18</f>
        <v>Công tác: Kiểm tra công tác hạ lồng thép</v>
      </c>
      <c r="D8" s="32"/>
      <c r="E8" s="32"/>
      <c r="F8" s="32"/>
      <c r="G8" s="32"/>
      <c r="H8" s="32"/>
    </row>
    <row r="9" ht="21.75" customHeight="1">
      <c r="A9" s="34"/>
      <c r="B9" s="35"/>
      <c r="C9" s="36"/>
      <c r="D9" s="35"/>
      <c r="E9" s="35"/>
      <c r="F9" s="35"/>
      <c r="G9" s="35"/>
    </row>
    <row r="10" ht="21.75" customHeight="1">
      <c r="A10" s="37" t="s">
        <v>3</v>
      </c>
      <c r="B10" s="37" t="s">
        <v>118</v>
      </c>
      <c r="C10" s="38" t="s">
        <v>119</v>
      </c>
      <c r="D10" s="38" t="s">
        <v>120</v>
      </c>
      <c r="E10" s="38" t="s">
        <v>121</v>
      </c>
      <c r="F10" s="39" t="s">
        <v>122</v>
      </c>
      <c r="G10" s="40"/>
      <c r="H10" s="38" t="s">
        <v>123</v>
      </c>
    </row>
    <row r="11" ht="21.75" customHeight="1">
      <c r="A11" s="41"/>
      <c r="B11" s="41"/>
      <c r="C11" s="41"/>
      <c r="D11" s="41"/>
      <c r="E11" s="41"/>
      <c r="F11" s="42" t="s">
        <v>124</v>
      </c>
      <c r="G11" s="42" t="s">
        <v>125</v>
      </c>
      <c r="H11" s="41"/>
    </row>
    <row r="12" ht="87.0" customHeight="1">
      <c r="A12" s="43">
        <v>1.0</v>
      </c>
      <c r="B12" s="38" t="s">
        <v>289</v>
      </c>
      <c r="C12" s="82" t="s">
        <v>290</v>
      </c>
      <c r="D12" s="82" t="s">
        <v>201</v>
      </c>
      <c r="E12" s="89" t="s">
        <v>252</v>
      </c>
      <c r="F12" s="47"/>
      <c r="G12" s="47"/>
      <c r="H12" s="45"/>
    </row>
    <row r="13" ht="63.75" customHeight="1">
      <c r="A13" s="48"/>
      <c r="B13" s="48"/>
      <c r="C13" s="85" t="s">
        <v>291</v>
      </c>
      <c r="D13" s="85"/>
      <c r="E13" s="88" t="s">
        <v>292</v>
      </c>
      <c r="F13" s="47"/>
      <c r="G13" s="47"/>
      <c r="H13" s="45"/>
    </row>
    <row r="14" ht="117.75" customHeight="1">
      <c r="A14" s="48"/>
      <c r="B14" s="48"/>
      <c r="C14" s="85" t="s">
        <v>293</v>
      </c>
      <c r="D14" s="85" t="s">
        <v>294</v>
      </c>
      <c r="E14" s="90" t="s">
        <v>295</v>
      </c>
      <c r="F14" s="47"/>
      <c r="G14" s="47"/>
      <c r="H14" s="45" t="s">
        <v>248</v>
      </c>
    </row>
    <row r="15" ht="48.75" customHeight="1">
      <c r="A15" s="48"/>
      <c r="B15" s="48"/>
      <c r="C15" s="91" t="s">
        <v>296</v>
      </c>
      <c r="D15" s="91" t="s">
        <v>280</v>
      </c>
      <c r="E15" s="75" t="s">
        <v>250</v>
      </c>
      <c r="F15" s="47"/>
      <c r="G15" s="47"/>
      <c r="H15" s="45"/>
    </row>
    <row r="16" ht="69.0" customHeight="1">
      <c r="A16" s="48"/>
      <c r="B16" s="48"/>
      <c r="C16" s="84" t="s">
        <v>297</v>
      </c>
      <c r="D16" s="84" t="s">
        <v>298</v>
      </c>
      <c r="E16" s="75" t="s">
        <v>250</v>
      </c>
      <c r="F16" s="47"/>
      <c r="G16" s="47"/>
      <c r="H16" s="45"/>
    </row>
    <row r="17" ht="103.5" customHeight="1">
      <c r="A17" s="48"/>
      <c r="B17" s="48"/>
      <c r="C17" s="86" t="s">
        <v>299</v>
      </c>
      <c r="D17" s="45" t="s">
        <v>132</v>
      </c>
      <c r="E17" s="92" t="s">
        <v>300</v>
      </c>
      <c r="F17" s="47"/>
      <c r="G17" s="47"/>
      <c r="H17" s="45"/>
    </row>
    <row r="18" ht="21.0" customHeight="1">
      <c r="A18" s="48"/>
      <c r="B18" s="41"/>
      <c r="C18" s="49"/>
      <c r="D18" s="45"/>
      <c r="E18" s="45"/>
      <c r="F18" s="47"/>
      <c r="G18" s="47"/>
      <c r="H18" s="46"/>
    </row>
    <row r="19" ht="21.0" customHeight="1">
      <c r="A19" s="52"/>
      <c r="B19" s="52" t="s">
        <v>175</v>
      </c>
      <c r="C19" s="53"/>
      <c r="D19" s="52"/>
      <c r="E19" s="52"/>
      <c r="F19" s="54"/>
      <c r="G19" s="52"/>
      <c r="H19" s="54"/>
    </row>
    <row r="20" ht="21.0" customHeight="1">
      <c r="A20" s="55" t="s">
        <v>176</v>
      </c>
      <c r="B20" s="56"/>
      <c r="C20" s="56"/>
      <c r="D20" s="56"/>
      <c r="E20" s="56"/>
      <c r="F20" s="56"/>
      <c r="G20" s="56"/>
      <c r="H20" s="57"/>
    </row>
    <row r="21" ht="18.75" customHeight="1">
      <c r="A21" s="58"/>
      <c r="H21" s="59"/>
    </row>
    <row r="22" ht="18.75" customHeight="1">
      <c r="A22" s="58"/>
      <c r="H22" s="59"/>
    </row>
    <row r="23" ht="18.75" customHeight="1">
      <c r="A23" s="58"/>
      <c r="H23" s="59"/>
    </row>
    <row r="24" ht="18.75" customHeight="1">
      <c r="A24" s="58"/>
      <c r="H24" s="59"/>
    </row>
    <row r="25" ht="18.75" customHeight="1">
      <c r="A25" s="58"/>
      <c r="H25" s="59"/>
    </row>
    <row r="26" ht="18.75" customHeight="1">
      <c r="A26" s="58"/>
      <c r="H26" s="59"/>
    </row>
    <row r="27" ht="18.75" customHeight="1">
      <c r="A27" s="58"/>
      <c r="H27" s="59"/>
    </row>
    <row r="28" ht="18.75" customHeight="1">
      <c r="A28" s="58"/>
      <c r="H28" s="59"/>
    </row>
    <row r="29" ht="18.75" customHeight="1">
      <c r="A29" s="58"/>
      <c r="H29" s="59"/>
    </row>
    <row r="30" ht="18.75" customHeight="1">
      <c r="A30" s="58"/>
      <c r="H30" s="59"/>
    </row>
    <row r="31" ht="18.75" customHeight="1">
      <c r="A31" s="58"/>
      <c r="H31" s="59"/>
    </row>
    <row r="32" ht="18.75" customHeight="1">
      <c r="A32" s="60"/>
      <c r="B32" s="61"/>
      <c r="C32" s="61"/>
      <c r="D32" s="61"/>
      <c r="E32" s="61"/>
      <c r="F32" s="61"/>
      <c r="G32" s="61"/>
      <c r="H32" s="62"/>
    </row>
    <row r="33" ht="18.75" customHeight="1">
      <c r="A33" s="63" t="s">
        <v>177</v>
      </c>
      <c r="B33" s="56"/>
      <c r="C33" s="56"/>
      <c r="D33" s="56"/>
      <c r="E33" s="56"/>
      <c r="F33" s="56"/>
      <c r="G33" s="56"/>
      <c r="H33" s="57"/>
    </row>
    <row r="34" ht="18.75" customHeight="1">
      <c r="A34" s="58"/>
      <c r="H34" s="59"/>
    </row>
    <row r="35" ht="18.75" customHeight="1">
      <c r="A35" s="58"/>
      <c r="H35" s="59"/>
    </row>
    <row r="36" ht="18.75" customHeight="1">
      <c r="A36" s="60"/>
      <c r="B36" s="61"/>
      <c r="C36" s="61"/>
      <c r="D36" s="61"/>
      <c r="E36" s="61"/>
      <c r="F36" s="61"/>
      <c r="G36" s="61"/>
      <c r="H36" s="62"/>
    </row>
    <row r="37" ht="18.75" customHeight="1"/>
    <row r="38" ht="18.75" customHeight="1"/>
    <row r="39" ht="18.75" customHeight="1"/>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mergeCells count="17">
    <mergeCell ref="B10:B11"/>
    <mergeCell ref="C10:C11"/>
    <mergeCell ref="A12:A18"/>
    <mergeCell ref="B12:B18"/>
    <mergeCell ref="A20:H32"/>
    <mergeCell ref="A33:H36"/>
    <mergeCell ref="D10:D11"/>
    <mergeCell ref="E10:E11"/>
    <mergeCell ref="F10:G10"/>
    <mergeCell ref="H10:H11"/>
    <mergeCell ref="A2:C2"/>
    <mergeCell ref="E2:H2"/>
    <mergeCell ref="A3:C3"/>
    <mergeCell ref="E3:H3"/>
    <mergeCell ref="E4:H4"/>
    <mergeCell ref="A5:H5"/>
    <mergeCell ref="A10:A11"/>
  </mergeCells>
  <hyperlinks>
    <hyperlink display="Ấn để trở về sheet &quot; Danh mục&quot;" location="'DANH MỤC'!A1" ref="I5"/>
  </hyperlink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5.0"/>
    <col customWidth="1" min="2" max="2" width="14.0"/>
    <col customWidth="1" min="3" max="3" width="48.0"/>
    <col customWidth="1" min="4" max="4" width="20.0"/>
    <col customWidth="1" min="5" max="5" width="35.0"/>
    <col customWidth="1" min="6" max="7" width="9.0"/>
    <col customWidth="1" min="8" max="8" width="21.0"/>
    <col customWidth="1" min="9" max="9" width="41.0"/>
    <col customWidth="1" min="10" max="26" width="14.0"/>
  </cols>
  <sheetData>
    <row r="1" ht="21.0" customHeight="1">
      <c r="A1" s="19"/>
      <c r="B1" s="19"/>
      <c r="C1" s="20"/>
      <c r="D1" s="21"/>
      <c r="E1" s="21"/>
      <c r="F1" s="22"/>
      <c r="G1" s="21"/>
      <c r="H1" s="22"/>
    </row>
    <row r="2" ht="18.75" customHeight="1">
      <c r="A2" s="69" t="s">
        <v>111</v>
      </c>
      <c r="D2" s="70"/>
      <c r="E2" s="26" t="s">
        <v>112</v>
      </c>
    </row>
    <row r="3" ht="21.0" customHeight="1">
      <c r="A3" s="1"/>
      <c r="D3" s="70"/>
      <c r="E3" s="1" t="s">
        <v>113</v>
      </c>
    </row>
    <row r="4" ht="21.0" customHeight="1">
      <c r="A4" s="70"/>
      <c r="B4" s="70"/>
      <c r="C4" s="70"/>
      <c r="D4" s="70"/>
      <c r="E4" s="26" t="s">
        <v>114</v>
      </c>
    </row>
    <row r="5" ht="21.75" customHeight="1">
      <c r="A5" s="27" t="s">
        <v>115</v>
      </c>
      <c r="I5" s="28" t="s">
        <v>116</v>
      </c>
    </row>
    <row r="6" ht="21.75" customHeight="1">
      <c r="A6" s="29" t="s">
        <v>117</v>
      </c>
      <c r="B6" s="30"/>
      <c r="C6" s="31" t="str">
        <f>+'DANH MỤC'!A2</f>
        <v>Công trình:</v>
      </c>
      <c r="D6" s="32"/>
      <c r="E6" s="32"/>
      <c r="F6" s="32"/>
      <c r="G6" s="32"/>
      <c r="H6" s="32"/>
    </row>
    <row r="7" ht="21.75" customHeight="1">
      <c r="A7" s="29"/>
      <c r="B7" s="32"/>
      <c r="C7" s="33" t="str">
        <f>+'DANH MỤC'!A3</f>
        <v>Địa điểm:</v>
      </c>
      <c r="D7" s="32"/>
      <c r="E7" s="32"/>
      <c r="F7" s="32"/>
      <c r="G7" s="32"/>
      <c r="H7" s="32"/>
    </row>
    <row r="8" ht="21.75" customHeight="1">
      <c r="A8" s="29"/>
      <c r="B8" s="32"/>
      <c r="C8" s="33" t="str">
        <f>"Công tác"&amp;": "&amp;'DANH MỤC'!B19</f>
        <v>Công tác: Kiểm tra công tác hạ ống đổ, thổi rửa lần 2</v>
      </c>
      <c r="D8" s="32"/>
      <c r="E8" s="32"/>
      <c r="F8" s="32"/>
      <c r="G8" s="32"/>
      <c r="H8" s="32"/>
    </row>
    <row r="9" ht="21.75" customHeight="1">
      <c r="A9" s="34"/>
      <c r="B9" s="35"/>
      <c r="C9" s="36"/>
      <c r="D9" s="35"/>
      <c r="E9" s="35"/>
      <c r="F9" s="35"/>
      <c r="G9" s="35"/>
    </row>
    <row r="10" ht="21.75" customHeight="1">
      <c r="A10" s="37" t="s">
        <v>3</v>
      </c>
      <c r="B10" s="37" t="s">
        <v>118</v>
      </c>
      <c r="C10" s="38" t="s">
        <v>119</v>
      </c>
      <c r="D10" s="38" t="s">
        <v>120</v>
      </c>
      <c r="E10" s="38" t="s">
        <v>121</v>
      </c>
      <c r="F10" s="39" t="s">
        <v>122</v>
      </c>
      <c r="G10" s="40"/>
      <c r="H10" s="38" t="s">
        <v>123</v>
      </c>
    </row>
    <row r="11" ht="21.75" customHeight="1">
      <c r="A11" s="41"/>
      <c r="B11" s="41"/>
      <c r="C11" s="41"/>
      <c r="D11" s="41"/>
      <c r="E11" s="41"/>
      <c r="F11" s="42" t="s">
        <v>124</v>
      </c>
      <c r="G11" s="42" t="s">
        <v>125</v>
      </c>
      <c r="H11" s="41"/>
    </row>
    <row r="12" ht="87.0" customHeight="1">
      <c r="A12" s="43">
        <v>1.0</v>
      </c>
      <c r="B12" s="38" t="s">
        <v>301</v>
      </c>
      <c r="C12" s="84" t="s">
        <v>302</v>
      </c>
      <c r="D12" s="84" t="s">
        <v>294</v>
      </c>
      <c r="E12" s="93" t="s">
        <v>303</v>
      </c>
      <c r="F12" s="47"/>
      <c r="G12" s="47"/>
      <c r="H12" s="45"/>
    </row>
    <row r="13" ht="63.75" customHeight="1">
      <c r="A13" s="48"/>
      <c r="B13" s="41"/>
      <c r="C13" s="86" t="s">
        <v>304</v>
      </c>
      <c r="D13" s="86" t="s">
        <v>305</v>
      </c>
      <c r="E13" s="92" t="s">
        <v>306</v>
      </c>
      <c r="F13" s="47"/>
      <c r="G13" s="47"/>
      <c r="H13" s="45" t="s">
        <v>248</v>
      </c>
    </row>
    <row r="14" ht="117.75" customHeight="1">
      <c r="A14" s="41"/>
      <c r="B14" s="94" t="s">
        <v>307</v>
      </c>
      <c r="C14" s="85" t="s">
        <v>308</v>
      </c>
      <c r="D14" s="87" t="s">
        <v>309</v>
      </c>
      <c r="E14" s="88" t="s">
        <v>310</v>
      </c>
      <c r="F14" s="47"/>
      <c r="G14" s="47"/>
      <c r="H14" s="45" t="s">
        <v>248</v>
      </c>
    </row>
    <row r="15" ht="21.0" customHeight="1">
      <c r="A15" s="52"/>
      <c r="B15" s="52" t="s">
        <v>175</v>
      </c>
      <c r="C15" s="53"/>
      <c r="D15" s="52"/>
      <c r="E15" s="52"/>
      <c r="F15" s="54"/>
      <c r="G15" s="52"/>
      <c r="H15" s="54"/>
    </row>
    <row r="16" ht="21.0" customHeight="1">
      <c r="A16" s="55" t="s">
        <v>176</v>
      </c>
      <c r="B16" s="56"/>
      <c r="C16" s="56"/>
      <c r="D16" s="56"/>
      <c r="E16" s="56"/>
      <c r="F16" s="56"/>
      <c r="G16" s="56"/>
      <c r="H16" s="57"/>
    </row>
    <row r="17" ht="21.0" customHeight="1">
      <c r="A17" s="58"/>
      <c r="H17" s="59"/>
    </row>
    <row r="18" ht="21.0" customHeight="1">
      <c r="A18" s="58"/>
      <c r="H18" s="59"/>
    </row>
    <row r="19" ht="21.0" customHeight="1">
      <c r="A19" s="58"/>
      <c r="H19" s="59"/>
    </row>
    <row r="20" ht="21.0" customHeight="1">
      <c r="A20" s="58"/>
      <c r="H20" s="59"/>
    </row>
    <row r="21" ht="18.75" customHeight="1">
      <c r="A21" s="58"/>
      <c r="H21" s="59"/>
    </row>
    <row r="22" ht="18.75" customHeight="1">
      <c r="A22" s="58"/>
      <c r="H22" s="59"/>
    </row>
    <row r="23" ht="18.75" customHeight="1">
      <c r="A23" s="58"/>
      <c r="H23" s="59"/>
    </row>
    <row r="24" ht="18.75" customHeight="1">
      <c r="A24" s="58"/>
      <c r="H24" s="59"/>
    </row>
    <row r="25" ht="18.75" customHeight="1">
      <c r="A25" s="58"/>
      <c r="H25" s="59"/>
    </row>
    <row r="26" ht="18.75" customHeight="1">
      <c r="A26" s="58"/>
      <c r="H26" s="59"/>
    </row>
    <row r="27" ht="18.75" customHeight="1">
      <c r="A27" s="58"/>
      <c r="H27" s="59"/>
    </row>
    <row r="28" ht="18.75" customHeight="1">
      <c r="A28" s="60"/>
      <c r="B28" s="61"/>
      <c r="C28" s="61"/>
      <c r="D28" s="61"/>
      <c r="E28" s="61"/>
      <c r="F28" s="61"/>
      <c r="G28" s="61"/>
      <c r="H28" s="62"/>
    </row>
    <row r="29" ht="18.75" customHeight="1">
      <c r="A29" s="63" t="s">
        <v>177</v>
      </c>
      <c r="B29" s="56"/>
      <c r="C29" s="56"/>
      <c r="D29" s="56"/>
      <c r="E29" s="56"/>
      <c r="F29" s="56"/>
      <c r="G29" s="56"/>
      <c r="H29" s="57"/>
    </row>
    <row r="30" ht="18.75" customHeight="1">
      <c r="A30" s="58"/>
      <c r="H30" s="59"/>
    </row>
    <row r="31" ht="18.75" customHeight="1">
      <c r="A31" s="58"/>
      <c r="H31" s="59"/>
    </row>
    <row r="32" ht="18.75" customHeight="1">
      <c r="A32" s="60"/>
      <c r="B32" s="61"/>
      <c r="C32" s="61"/>
      <c r="D32" s="61"/>
      <c r="E32" s="61"/>
      <c r="F32" s="61"/>
      <c r="G32" s="61"/>
      <c r="H32" s="62"/>
    </row>
    <row r="33" ht="18.75" customHeight="1"/>
    <row r="34" ht="18.75" customHeight="1"/>
    <row r="35" ht="18.75" customHeight="1"/>
    <row r="36" ht="18.75" customHeight="1"/>
    <row r="37" ht="18.75" customHeight="1"/>
    <row r="38" ht="18.75" customHeight="1"/>
    <row r="39" ht="18.75" customHeight="1"/>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mergeCells count="17">
    <mergeCell ref="B10:B11"/>
    <mergeCell ref="C10:C11"/>
    <mergeCell ref="A12:A14"/>
    <mergeCell ref="B12:B13"/>
    <mergeCell ref="D10:D11"/>
    <mergeCell ref="E10:E11"/>
    <mergeCell ref="F10:G10"/>
    <mergeCell ref="H10:H11"/>
    <mergeCell ref="A16:H28"/>
    <mergeCell ref="A29:H32"/>
    <mergeCell ref="A2:C2"/>
    <mergeCell ref="E2:H2"/>
    <mergeCell ref="A3:C3"/>
    <mergeCell ref="E3:H3"/>
    <mergeCell ref="E4:H4"/>
    <mergeCell ref="A5:H5"/>
    <mergeCell ref="A10:A11"/>
  </mergeCells>
  <hyperlinks>
    <hyperlink display="Ấn để trở về sheet &quot; Danh mục&quot;" location="'DANH MỤC'!A1" ref="I5"/>
  </hyperlink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5.0"/>
    <col customWidth="1" min="2" max="2" width="14.0"/>
    <col customWidth="1" min="3" max="3" width="48.0"/>
    <col customWidth="1" min="4" max="4" width="20.0"/>
    <col customWidth="1" min="5" max="5" width="35.0"/>
    <col customWidth="1" min="6" max="7" width="9.0"/>
    <col customWidth="1" min="8" max="8" width="21.0"/>
    <col customWidth="1" min="9" max="9" width="43.0"/>
    <col customWidth="1" min="10" max="26" width="14.0"/>
  </cols>
  <sheetData>
    <row r="1" ht="21.0" customHeight="1">
      <c r="A1" s="19"/>
      <c r="B1" s="19"/>
      <c r="C1" s="20"/>
      <c r="D1" s="21"/>
      <c r="E1" s="21"/>
      <c r="F1" s="22"/>
      <c r="G1" s="21"/>
      <c r="H1" s="22"/>
    </row>
    <row r="2" ht="18.75" customHeight="1">
      <c r="A2" s="69" t="s">
        <v>111</v>
      </c>
      <c r="D2" s="70"/>
      <c r="E2" s="26" t="s">
        <v>112</v>
      </c>
    </row>
    <row r="3" ht="21.0" customHeight="1">
      <c r="A3" s="1"/>
      <c r="D3" s="70"/>
      <c r="E3" s="1" t="s">
        <v>113</v>
      </c>
    </row>
    <row r="4" ht="21.0" customHeight="1">
      <c r="A4" s="70"/>
      <c r="B4" s="70"/>
      <c r="C4" s="70"/>
      <c r="D4" s="70"/>
      <c r="E4" s="26" t="s">
        <v>114</v>
      </c>
    </row>
    <row r="5" ht="21.75" customHeight="1">
      <c r="A5" s="27" t="s">
        <v>115</v>
      </c>
      <c r="I5" s="28" t="s">
        <v>116</v>
      </c>
    </row>
    <row r="6" ht="21.75" customHeight="1">
      <c r="A6" s="29" t="s">
        <v>117</v>
      </c>
      <c r="B6" s="30"/>
      <c r="C6" s="31" t="str">
        <f>+'DANH MỤC'!A2</f>
        <v>Công trình:</v>
      </c>
      <c r="D6" s="32"/>
      <c r="E6" s="32"/>
      <c r="F6" s="32"/>
      <c r="G6" s="32"/>
      <c r="H6" s="32"/>
    </row>
    <row r="7" ht="21.75" customHeight="1">
      <c r="A7" s="29"/>
      <c r="B7" s="32"/>
      <c r="C7" s="33" t="str">
        <f>+'DANH MỤC'!A3</f>
        <v>Địa điểm:</v>
      </c>
      <c r="D7" s="32"/>
      <c r="E7" s="32"/>
      <c r="F7" s="32"/>
      <c r="G7" s="32"/>
      <c r="H7" s="32"/>
    </row>
    <row r="8" ht="21.75" customHeight="1">
      <c r="A8" s="29"/>
      <c r="B8" s="32"/>
      <c r="C8" s="33" t="str">
        <f>"Công tác"&amp;": "&amp;'DANH MỤC'!B20</f>
        <v>Công tác: Kiểm tra dung dịch giữ thành hố khoan, công tác đổ bê tông</v>
      </c>
      <c r="D8" s="32"/>
      <c r="E8" s="32"/>
      <c r="F8" s="32"/>
      <c r="G8" s="32"/>
      <c r="H8" s="32"/>
    </row>
    <row r="9" ht="21.75" customHeight="1">
      <c r="A9" s="34"/>
      <c r="B9" s="35"/>
      <c r="C9" s="36"/>
      <c r="D9" s="35"/>
      <c r="E9" s="35"/>
      <c r="F9" s="35"/>
      <c r="G9" s="35"/>
    </row>
    <row r="10" ht="21.75" customHeight="1">
      <c r="A10" s="37" t="s">
        <v>3</v>
      </c>
      <c r="B10" s="37" t="s">
        <v>118</v>
      </c>
      <c r="C10" s="38" t="s">
        <v>119</v>
      </c>
      <c r="D10" s="38" t="s">
        <v>120</v>
      </c>
      <c r="E10" s="38" t="s">
        <v>121</v>
      </c>
      <c r="F10" s="39" t="s">
        <v>122</v>
      </c>
      <c r="G10" s="40"/>
      <c r="H10" s="38" t="s">
        <v>123</v>
      </c>
    </row>
    <row r="11" ht="21.75" customHeight="1">
      <c r="A11" s="41"/>
      <c r="B11" s="41"/>
      <c r="C11" s="41"/>
      <c r="D11" s="41"/>
      <c r="E11" s="41"/>
      <c r="F11" s="42" t="s">
        <v>124</v>
      </c>
      <c r="G11" s="42" t="s">
        <v>125</v>
      </c>
      <c r="H11" s="41"/>
    </row>
    <row r="12" ht="132.75" customHeight="1">
      <c r="A12" s="43">
        <v>1.0</v>
      </c>
      <c r="B12" s="95" t="s">
        <v>311</v>
      </c>
      <c r="C12" s="87" t="s">
        <v>312</v>
      </c>
      <c r="D12" s="85" t="s">
        <v>266</v>
      </c>
      <c r="E12" s="88" t="s">
        <v>288</v>
      </c>
      <c r="F12" s="47"/>
      <c r="G12" s="47"/>
      <c r="H12" s="45" t="s">
        <v>248</v>
      </c>
    </row>
    <row r="13" ht="99.0" customHeight="1">
      <c r="A13" s="48"/>
      <c r="B13" s="38" t="s">
        <v>313</v>
      </c>
      <c r="C13" s="86" t="s">
        <v>314</v>
      </c>
      <c r="D13" s="85" t="s">
        <v>315</v>
      </c>
      <c r="E13" s="88" t="s">
        <v>316</v>
      </c>
      <c r="F13" s="47"/>
      <c r="G13" s="47"/>
      <c r="H13" s="45" t="s">
        <v>248</v>
      </c>
    </row>
    <row r="14" ht="36.0" customHeight="1">
      <c r="A14" s="48"/>
      <c r="B14" s="48"/>
      <c r="C14" s="82" t="s">
        <v>317</v>
      </c>
      <c r="D14" s="87"/>
      <c r="E14" s="90" t="s">
        <v>318</v>
      </c>
      <c r="F14" s="47"/>
      <c r="G14" s="47"/>
      <c r="H14" s="45" t="s">
        <v>319</v>
      </c>
    </row>
    <row r="15" ht="39.75" customHeight="1">
      <c r="A15" s="48"/>
      <c r="B15" s="48"/>
      <c r="C15" s="85" t="s">
        <v>320</v>
      </c>
      <c r="D15" s="85" t="s">
        <v>321</v>
      </c>
      <c r="E15" s="75" t="s">
        <v>322</v>
      </c>
      <c r="F15" s="47"/>
      <c r="G15" s="47"/>
      <c r="H15" s="45"/>
    </row>
    <row r="16" ht="42.75" customHeight="1">
      <c r="A16" s="48"/>
      <c r="B16" s="48"/>
      <c r="C16" s="91" t="s">
        <v>323</v>
      </c>
      <c r="D16" s="85" t="s">
        <v>321</v>
      </c>
      <c r="E16" s="93" t="s">
        <v>324</v>
      </c>
      <c r="F16" s="47"/>
      <c r="G16" s="47"/>
      <c r="H16" s="45" t="s">
        <v>248</v>
      </c>
    </row>
    <row r="17" ht="66.0" customHeight="1">
      <c r="A17" s="48"/>
      <c r="B17" s="41"/>
      <c r="C17" s="86" t="s">
        <v>325</v>
      </c>
      <c r="D17" s="45"/>
      <c r="E17" s="92" t="s">
        <v>326</v>
      </c>
      <c r="F17" s="47"/>
      <c r="G17" s="47"/>
      <c r="H17" s="75" t="s">
        <v>327</v>
      </c>
    </row>
    <row r="18" ht="21.0" customHeight="1">
      <c r="A18" s="41"/>
      <c r="B18" s="94"/>
      <c r="C18" s="49"/>
      <c r="D18" s="45"/>
      <c r="E18" s="45"/>
      <c r="F18" s="47"/>
      <c r="G18" s="47"/>
      <c r="H18" s="46"/>
    </row>
    <row r="19" ht="21.0" customHeight="1">
      <c r="A19" s="52"/>
      <c r="B19" s="52" t="s">
        <v>175</v>
      </c>
      <c r="C19" s="53"/>
      <c r="D19" s="52"/>
      <c r="E19" s="52"/>
      <c r="F19" s="54"/>
      <c r="G19" s="52"/>
      <c r="H19" s="54"/>
    </row>
    <row r="20" ht="21.0" customHeight="1">
      <c r="A20" s="55" t="s">
        <v>176</v>
      </c>
      <c r="B20" s="56"/>
      <c r="C20" s="56"/>
      <c r="D20" s="56"/>
      <c r="E20" s="56"/>
      <c r="F20" s="56"/>
      <c r="G20" s="56"/>
      <c r="H20" s="57"/>
    </row>
    <row r="21" ht="18.75" customHeight="1">
      <c r="A21" s="58"/>
      <c r="H21" s="59"/>
    </row>
    <row r="22" ht="18.75" customHeight="1">
      <c r="A22" s="58"/>
      <c r="H22" s="59"/>
    </row>
    <row r="23" ht="18.75" customHeight="1">
      <c r="A23" s="58"/>
      <c r="H23" s="59"/>
    </row>
    <row r="24" ht="18.75" customHeight="1">
      <c r="A24" s="58"/>
      <c r="H24" s="59"/>
    </row>
    <row r="25" ht="18.75" customHeight="1">
      <c r="A25" s="58"/>
      <c r="H25" s="59"/>
    </row>
    <row r="26" ht="18.75" customHeight="1">
      <c r="A26" s="58"/>
      <c r="H26" s="59"/>
    </row>
    <row r="27" ht="18.75" customHeight="1">
      <c r="A27" s="58"/>
      <c r="H27" s="59"/>
    </row>
    <row r="28" ht="18.75" customHeight="1">
      <c r="A28" s="58"/>
      <c r="H28" s="59"/>
    </row>
    <row r="29" ht="18.75" customHeight="1">
      <c r="A29" s="58"/>
      <c r="H29" s="59"/>
    </row>
    <row r="30" ht="18.75" customHeight="1">
      <c r="A30" s="58"/>
      <c r="H30" s="59"/>
    </row>
    <row r="31" ht="18.75" customHeight="1">
      <c r="A31" s="58"/>
      <c r="H31" s="59"/>
    </row>
    <row r="32" ht="18.75" customHeight="1">
      <c r="A32" s="60"/>
      <c r="B32" s="61"/>
      <c r="C32" s="61"/>
      <c r="D32" s="61"/>
      <c r="E32" s="61"/>
      <c r="F32" s="61"/>
      <c r="G32" s="61"/>
      <c r="H32" s="62"/>
    </row>
    <row r="33" ht="18.75" customHeight="1">
      <c r="A33" s="63" t="s">
        <v>177</v>
      </c>
      <c r="B33" s="56"/>
      <c r="C33" s="56"/>
      <c r="D33" s="56"/>
      <c r="E33" s="56"/>
      <c r="F33" s="56"/>
      <c r="G33" s="56"/>
      <c r="H33" s="57"/>
    </row>
    <row r="34" ht="18.75" customHeight="1">
      <c r="A34" s="58"/>
      <c r="H34" s="59"/>
    </row>
    <row r="35" ht="18.75" customHeight="1">
      <c r="A35" s="58"/>
      <c r="H35" s="59"/>
    </row>
    <row r="36" ht="18.75" customHeight="1">
      <c r="A36" s="60"/>
      <c r="B36" s="61"/>
      <c r="C36" s="61"/>
      <c r="D36" s="61"/>
      <c r="E36" s="61"/>
      <c r="F36" s="61"/>
      <c r="G36" s="61"/>
      <c r="H36" s="62"/>
    </row>
    <row r="37" ht="18.75" customHeight="1"/>
    <row r="38" ht="18.75" customHeight="1"/>
    <row r="39" ht="18.75" customHeight="1"/>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mergeCells count="17">
    <mergeCell ref="B10:B11"/>
    <mergeCell ref="C10:C11"/>
    <mergeCell ref="A12:A18"/>
    <mergeCell ref="B13:B17"/>
    <mergeCell ref="A20:H32"/>
    <mergeCell ref="A33:H36"/>
    <mergeCell ref="D10:D11"/>
    <mergeCell ref="E10:E11"/>
    <mergeCell ref="F10:G10"/>
    <mergeCell ref="H10:H11"/>
    <mergeCell ref="A2:C2"/>
    <mergeCell ref="E2:H2"/>
    <mergeCell ref="A3:C3"/>
    <mergeCell ref="E3:H3"/>
    <mergeCell ref="E4:H4"/>
    <mergeCell ref="A5:H5"/>
    <mergeCell ref="A10:A11"/>
  </mergeCells>
  <hyperlinks>
    <hyperlink display="Ấn để trở về sheet &quot; Danh mục&quot;" location="'DANH MỤC'!A1" ref="I5"/>
  </hyperlink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5.0"/>
    <col customWidth="1" min="2" max="2" width="14.0"/>
    <col customWidth="1" min="3" max="3" width="48.0"/>
    <col customWidth="1" min="4" max="4" width="20.0"/>
    <col customWidth="1" min="5" max="5" width="35.0"/>
    <col customWidth="1" min="6" max="7" width="9.0"/>
    <col customWidth="1" min="8" max="8" width="21.0"/>
    <col customWidth="1" min="9" max="9" width="42.0"/>
    <col customWidth="1" min="10" max="26" width="14.0"/>
  </cols>
  <sheetData>
    <row r="1" ht="21.0" customHeight="1">
      <c r="A1" s="19"/>
      <c r="B1" s="19"/>
      <c r="C1" s="20"/>
      <c r="D1" s="21"/>
      <c r="E1" s="21"/>
      <c r="F1" s="22"/>
      <c r="G1" s="21"/>
      <c r="H1" s="22"/>
    </row>
    <row r="2" ht="18.75" customHeight="1">
      <c r="A2" s="69" t="s">
        <v>111</v>
      </c>
      <c r="D2" s="70"/>
      <c r="E2" s="26" t="s">
        <v>112</v>
      </c>
    </row>
    <row r="3" ht="21.0" customHeight="1">
      <c r="A3" s="1"/>
      <c r="D3" s="70"/>
      <c r="E3" s="1" t="s">
        <v>113</v>
      </c>
    </row>
    <row r="4" ht="21.0" customHeight="1">
      <c r="A4" s="70"/>
      <c r="B4" s="70"/>
      <c r="C4" s="70"/>
      <c r="D4" s="70"/>
      <c r="E4" s="26" t="s">
        <v>114</v>
      </c>
    </row>
    <row r="5" ht="21.75" customHeight="1">
      <c r="A5" s="27" t="s">
        <v>115</v>
      </c>
      <c r="I5" s="28" t="s">
        <v>116</v>
      </c>
    </row>
    <row r="6" ht="21.75" customHeight="1">
      <c r="A6" s="29" t="s">
        <v>117</v>
      </c>
      <c r="B6" s="30"/>
      <c r="C6" s="31" t="str">
        <f>+'DANH MỤC'!A2</f>
        <v>Công trình:</v>
      </c>
      <c r="D6" s="32"/>
      <c r="E6" s="32"/>
      <c r="F6" s="32"/>
      <c r="G6" s="32"/>
      <c r="H6" s="32"/>
    </row>
    <row r="7" ht="21.75" customHeight="1">
      <c r="A7" s="29"/>
      <c r="B7" s="32"/>
      <c r="C7" s="33" t="str">
        <f>+'DANH MỤC'!A3</f>
        <v>Địa điểm:</v>
      </c>
      <c r="D7" s="32"/>
      <c r="E7" s="32"/>
      <c r="F7" s="32"/>
      <c r="G7" s="32"/>
      <c r="H7" s="32"/>
    </row>
    <row r="8" ht="21.75" customHeight="1">
      <c r="A8" s="29"/>
      <c r="B8" s="32"/>
      <c r="C8" s="33" t="str">
        <f>"Công tác"&amp;": "&amp;'DANH MỤC'!B22</f>
        <v>Công tác: Công tác lấp đất đầu cọc có kingpost</v>
      </c>
      <c r="D8" s="32"/>
      <c r="E8" s="32"/>
      <c r="F8" s="32"/>
      <c r="G8" s="32"/>
      <c r="H8" s="32"/>
    </row>
    <row r="9" ht="21.75" customHeight="1">
      <c r="A9" s="34"/>
      <c r="B9" s="35"/>
      <c r="C9" s="36"/>
      <c r="D9" s="35"/>
      <c r="E9" s="35"/>
      <c r="F9" s="35"/>
      <c r="G9" s="35"/>
    </row>
    <row r="10" ht="21.75" customHeight="1">
      <c r="A10" s="37" t="s">
        <v>3</v>
      </c>
      <c r="B10" s="37" t="s">
        <v>118</v>
      </c>
      <c r="C10" s="38" t="s">
        <v>119</v>
      </c>
      <c r="D10" s="38" t="s">
        <v>120</v>
      </c>
      <c r="E10" s="38" t="s">
        <v>121</v>
      </c>
      <c r="F10" s="39" t="s">
        <v>122</v>
      </c>
      <c r="G10" s="40"/>
      <c r="H10" s="38" t="s">
        <v>123</v>
      </c>
    </row>
    <row r="11" ht="21.75" customHeight="1">
      <c r="A11" s="41"/>
      <c r="B11" s="41"/>
      <c r="C11" s="41"/>
      <c r="D11" s="41"/>
      <c r="E11" s="41"/>
      <c r="F11" s="42" t="s">
        <v>124</v>
      </c>
      <c r="G11" s="42" t="s">
        <v>125</v>
      </c>
      <c r="H11" s="41"/>
    </row>
    <row r="12" ht="105.75" customHeight="1">
      <c r="A12" s="43">
        <v>1.0</v>
      </c>
      <c r="B12" s="38" t="s">
        <v>328</v>
      </c>
      <c r="C12" s="84" t="s">
        <v>329</v>
      </c>
      <c r="D12" s="84" t="s">
        <v>330</v>
      </c>
      <c r="E12" s="93" t="s">
        <v>250</v>
      </c>
      <c r="F12" s="47"/>
      <c r="G12" s="47"/>
      <c r="H12" s="45"/>
    </row>
    <row r="13" ht="70.5" customHeight="1">
      <c r="A13" s="48"/>
      <c r="B13" s="48"/>
      <c r="C13" s="84" t="s">
        <v>331</v>
      </c>
      <c r="D13" s="84" t="s">
        <v>201</v>
      </c>
      <c r="E13" s="93" t="s">
        <v>332</v>
      </c>
      <c r="F13" s="47"/>
      <c r="G13" s="47"/>
      <c r="H13" s="45"/>
    </row>
    <row r="14" ht="81.75" customHeight="1">
      <c r="A14" s="48"/>
      <c r="B14" s="48"/>
      <c r="C14" s="84" t="s">
        <v>333</v>
      </c>
      <c r="D14" s="87" t="s">
        <v>229</v>
      </c>
      <c r="E14" s="93" t="s">
        <v>250</v>
      </c>
      <c r="F14" s="47"/>
      <c r="G14" s="47"/>
      <c r="H14" s="45"/>
    </row>
    <row r="15" ht="48.75" customHeight="1">
      <c r="A15" s="48"/>
      <c r="B15" s="48"/>
      <c r="C15" s="84" t="s">
        <v>334</v>
      </c>
      <c r="D15" s="84" t="s">
        <v>335</v>
      </c>
      <c r="E15" s="93" t="s">
        <v>336</v>
      </c>
      <c r="F15" s="47"/>
      <c r="G15" s="47"/>
      <c r="H15" s="45" t="s">
        <v>248</v>
      </c>
    </row>
    <row r="16" ht="48.0" customHeight="1">
      <c r="A16" s="48"/>
      <c r="B16" s="41"/>
      <c r="C16" s="86" t="s">
        <v>337</v>
      </c>
      <c r="D16" s="84" t="s">
        <v>280</v>
      </c>
      <c r="E16" s="93" t="s">
        <v>250</v>
      </c>
      <c r="F16" s="47"/>
      <c r="G16" s="47"/>
      <c r="H16" s="45"/>
    </row>
    <row r="17" ht="21.0" customHeight="1">
      <c r="A17" s="41"/>
      <c r="B17" s="94"/>
      <c r="C17" s="49"/>
      <c r="D17" s="45"/>
      <c r="E17" s="45"/>
      <c r="F17" s="47"/>
      <c r="G17" s="47"/>
      <c r="H17" s="46"/>
    </row>
    <row r="18" ht="21.0" customHeight="1">
      <c r="A18" s="52"/>
      <c r="B18" s="52" t="s">
        <v>175</v>
      </c>
      <c r="C18" s="53"/>
      <c r="D18" s="52"/>
      <c r="E18" s="52"/>
      <c r="F18" s="54"/>
      <c r="G18" s="52"/>
      <c r="H18" s="54"/>
    </row>
    <row r="19" ht="21.0" customHeight="1">
      <c r="A19" s="55" t="s">
        <v>176</v>
      </c>
      <c r="B19" s="56"/>
      <c r="C19" s="56"/>
      <c r="D19" s="56"/>
      <c r="E19" s="56"/>
      <c r="F19" s="56"/>
      <c r="G19" s="56"/>
      <c r="H19" s="57"/>
    </row>
    <row r="20" ht="21.0" customHeight="1">
      <c r="A20" s="58"/>
      <c r="H20" s="59"/>
    </row>
    <row r="21" ht="18.75" customHeight="1">
      <c r="A21" s="58"/>
      <c r="H21" s="59"/>
    </row>
    <row r="22" ht="18.75" customHeight="1">
      <c r="A22" s="58"/>
      <c r="H22" s="59"/>
    </row>
    <row r="23" ht="18.75" customHeight="1">
      <c r="A23" s="58"/>
      <c r="H23" s="59"/>
    </row>
    <row r="24" ht="18.75" customHeight="1">
      <c r="A24" s="58"/>
      <c r="H24" s="59"/>
    </row>
    <row r="25" ht="18.75" customHeight="1">
      <c r="A25" s="58"/>
      <c r="H25" s="59"/>
    </row>
    <row r="26" ht="18.75" customHeight="1">
      <c r="A26" s="58"/>
      <c r="H26" s="59"/>
    </row>
    <row r="27" ht="18.75" customHeight="1">
      <c r="A27" s="58"/>
      <c r="H27" s="59"/>
    </row>
    <row r="28" ht="18.75" customHeight="1">
      <c r="A28" s="58"/>
      <c r="H28" s="59"/>
    </row>
    <row r="29" ht="18.75" customHeight="1">
      <c r="A29" s="58"/>
      <c r="H29" s="59"/>
    </row>
    <row r="30" ht="18.75" customHeight="1">
      <c r="A30" s="58"/>
      <c r="H30" s="59"/>
    </row>
    <row r="31" ht="18.75" customHeight="1">
      <c r="A31" s="60"/>
      <c r="B31" s="61"/>
      <c r="C31" s="61"/>
      <c r="D31" s="61"/>
      <c r="E31" s="61"/>
      <c r="F31" s="61"/>
      <c r="G31" s="61"/>
      <c r="H31" s="62"/>
    </row>
    <row r="32" ht="18.75" customHeight="1">
      <c r="A32" s="63" t="s">
        <v>177</v>
      </c>
      <c r="B32" s="56"/>
      <c r="C32" s="56"/>
      <c r="D32" s="56"/>
      <c r="E32" s="56"/>
      <c r="F32" s="56"/>
      <c r="G32" s="56"/>
      <c r="H32" s="57"/>
    </row>
    <row r="33" ht="18.75" customHeight="1">
      <c r="A33" s="58"/>
      <c r="H33" s="59"/>
    </row>
    <row r="34" ht="18.75" customHeight="1">
      <c r="A34" s="58"/>
      <c r="H34" s="59"/>
    </row>
    <row r="35" ht="18.75" customHeight="1">
      <c r="A35" s="60"/>
      <c r="B35" s="61"/>
      <c r="C35" s="61"/>
      <c r="D35" s="61"/>
      <c r="E35" s="61"/>
      <c r="F35" s="61"/>
      <c r="G35" s="61"/>
      <c r="H35" s="62"/>
    </row>
    <row r="36" ht="18.75" customHeight="1"/>
    <row r="37" ht="18.75" customHeight="1"/>
    <row r="38" ht="18.75" customHeight="1"/>
    <row r="39" ht="18.75" customHeight="1"/>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mergeCells count="17">
    <mergeCell ref="B10:B11"/>
    <mergeCell ref="C10:C11"/>
    <mergeCell ref="A12:A17"/>
    <mergeCell ref="B12:B16"/>
    <mergeCell ref="A19:H31"/>
    <mergeCell ref="A32:H35"/>
    <mergeCell ref="D10:D11"/>
    <mergeCell ref="E10:E11"/>
    <mergeCell ref="F10:G10"/>
    <mergeCell ref="H10:H11"/>
    <mergeCell ref="A2:C2"/>
    <mergeCell ref="E2:H2"/>
    <mergeCell ref="A3:C3"/>
    <mergeCell ref="E3:H3"/>
    <mergeCell ref="E4:H4"/>
    <mergeCell ref="A5:H5"/>
    <mergeCell ref="A10:A11"/>
  </mergeCells>
  <hyperlinks>
    <hyperlink display="Ấn để trở về sheet &quot; Danh mục&quot;" location="'DANH MỤC'!A1" ref="I5"/>
  </hyperlink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5.0"/>
    <col customWidth="1" min="2" max="2" width="14.0"/>
    <col customWidth="1" min="3" max="3" width="48.0"/>
    <col customWidth="1" min="4" max="4" width="20.0"/>
    <col customWidth="1" min="5" max="5" width="35.0"/>
    <col customWidth="1" min="6" max="7" width="9.0"/>
    <col customWidth="1" min="8" max="8" width="21.0"/>
    <col customWidth="1" min="9" max="9" width="41.0"/>
    <col customWidth="1" min="10" max="26" width="14.0"/>
  </cols>
  <sheetData>
    <row r="1" ht="21.0" customHeight="1">
      <c r="A1" s="19"/>
      <c r="B1" s="19"/>
      <c r="C1" s="20"/>
      <c r="D1" s="21"/>
      <c r="E1" s="21"/>
      <c r="F1" s="22"/>
      <c r="G1" s="21"/>
      <c r="H1" s="22"/>
    </row>
    <row r="2" ht="18.75" customHeight="1">
      <c r="A2" s="69" t="s">
        <v>111</v>
      </c>
      <c r="D2" s="70"/>
      <c r="E2" s="26" t="s">
        <v>112</v>
      </c>
    </row>
    <row r="3" ht="21.0" customHeight="1">
      <c r="A3" s="1"/>
      <c r="D3" s="70"/>
      <c r="E3" s="1" t="s">
        <v>113</v>
      </c>
    </row>
    <row r="4" ht="21.0" customHeight="1">
      <c r="A4" s="70"/>
      <c r="B4" s="70"/>
      <c r="C4" s="70"/>
      <c r="D4" s="70"/>
      <c r="E4" s="26" t="s">
        <v>114</v>
      </c>
    </row>
    <row r="5" ht="21.75" customHeight="1">
      <c r="A5" s="27" t="s">
        <v>115</v>
      </c>
      <c r="I5" s="28" t="s">
        <v>116</v>
      </c>
    </row>
    <row r="6" ht="21.75" customHeight="1">
      <c r="A6" s="29" t="s">
        <v>117</v>
      </c>
      <c r="B6" s="30"/>
      <c r="C6" s="31" t="str">
        <f>+'DANH MỤC'!A2</f>
        <v>Công trình:</v>
      </c>
      <c r="D6" s="32"/>
      <c r="E6" s="32"/>
      <c r="F6" s="32"/>
      <c r="G6" s="32"/>
      <c r="H6" s="32"/>
    </row>
    <row r="7" ht="21.75" customHeight="1">
      <c r="A7" s="29"/>
      <c r="B7" s="32"/>
      <c r="C7" s="33" t="str">
        <f>+'DANH MỤC'!A3</f>
        <v>Địa điểm:</v>
      </c>
      <c r="D7" s="32"/>
      <c r="E7" s="32"/>
      <c r="F7" s="32"/>
      <c r="G7" s="32"/>
      <c r="H7" s="32"/>
    </row>
    <row r="8" ht="21.75" customHeight="1">
      <c r="A8" s="29"/>
      <c r="B8" s="32"/>
      <c r="C8" s="33" t="str">
        <f>"Công tác"&amp;": "&amp;'DANH MỤC'!B22</f>
        <v>Công tác: Công tác lấp đất đầu cọc có kingpost</v>
      </c>
      <c r="D8" s="32"/>
      <c r="E8" s="32"/>
      <c r="F8" s="32"/>
      <c r="G8" s="32"/>
      <c r="H8" s="32"/>
    </row>
    <row r="9" ht="21.75" customHeight="1">
      <c r="A9" s="34"/>
      <c r="B9" s="35"/>
      <c r="C9" s="36"/>
      <c r="D9" s="35"/>
      <c r="E9" s="35"/>
      <c r="F9" s="35"/>
      <c r="G9" s="35"/>
    </row>
    <row r="10" ht="21.75" customHeight="1">
      <c r="A10" s="37" t="s">
        <v>3</v>
      </c>
      <c r="B10" s="37" t="s">
        <v>118</v>
      </c>
      <c r="C10" s="38" t="s">
        <v>119</v>
      </c>
      <c r="D10" s="38" t="s">
        <v>120</v>
      </c>
      <c r="E10" s="38" t="s">
        <v>121</v>
      </c>
      <c r="F10" s="39" t="s">
        <v>122</v>
      </c>
      <c r="G10" s="40"/>
      <c r="H10" s="38" t="s">
        <v>123</v>
      </c>
    </row>
    <row r="11" ht="21.75" customHeight="1">
      <c r="A11" s="41"/>
      <c r="B11" s="41"/>
      <c r="C11" s="41"/>
      <c r="D11" s="41"/>
      <c r="E11" s="41"/>
      <c r="F11" s="42" t="s">
        <v>124</v>
      </c>
      <c r="G11" s="42" t="s">
        <v>125</v>
      </c>
      <c r="H11" s="41"/>
    </row>
    <row r="12" ht="58.5" customHeight="1">
      <c r="A12" s="43">
        <v>1.0</v>
      </c>
      <c r="B12" s="96" t="s">
        <v>35</v>
      </c>
      <c r="C12" s="82" t="s">
        <v>338</v>
      </c>
      <c r="D12" s="82" t="s">
        <v>280</v>
      </c>
      <c r="E12" s="89" t="s">
        <v>339</v>
      </c>
      <c r="F12" s="47"/>
      <c r="G12" s="47"/>
      <c r="H12" s="45" t="s">
        <v>248</v>
      </c>
    </row>
    <row r="13" ht="57.0" customHeight="1">
      <c r="A13" s="48"/>
      <c r="B13" s="48"/>
      <c r="C13" s="85" t="s">
        <v>340</v>
      </c>
      <c r="D13" s="85" t="s">
        <v>280</v>
      </c>
      <c r="E13" s="88" t="s">
        <v>341</v>
      </c>
      <c r="F13" s="47"/>
      <c r="G13" s="47"/>
      <c r="H13" s="45"/>
    </row>
    <row r="14" ht="58.5" customHeight="1">
      <c r="A14" s="48"/>
      <c r="B14" s="48"/>
      <c r="C14" s="97" t="s">
        <v>342</v>
      </c>
      <c r="D14" s="97" t="s">
        <v>280</v>
      </c>
      <c r="E14" s="98" t="s">
        <v>341</v>
      </c>
      <c r="F14" s="47"/>
      <c r="G14" s="47"/>
      <c r="H14" s="45"/>
    </row>
    <row r="15" ht="75.75" customHeight="1">
      <c r="A15" s="48"/>
      <c r="B15" s="48"/>
      <c r="C15" s="85" t="s">
        <v>343</v>
      </c>
      <c r="D15" s="85" t="s">
        <v>201</v>
      </c>
      <c r="E15" s="88" t="s">
        <v>344</v>
      </c>
      <c r="F15" s="47"/>
      <c r="G15" s="47"/>
      <c r="H15" s="45"/>
    </row>
    <row r="16" ht="48.0" customHeight="1">
      <c r="A16" s="48"/>
      <c r="B16" s="41"/>
      <c r="C16" s="99" t="s">
        <v>345</v>
      </c>
      <c r="D16" s="99" t="s">
        <v>280</v>
      </c>
      <c r="E16" s="90" t="s">
        <v>341</v>
      </c>
      <c r="F16" s="47"/>
      <c r="G16" s="47"/>
      <c r="H16" s="45"/>
    </row>
    <row r="17" ht="21.0" customHeight="1">
      <c r="A17" s="41"/>
      <c r="B17" s="94"/>
      <c r="C17" s="49"/>
      <c r="D17" s="45"/>
      <c r="E17" s="45"/>
      <c r="F17" s="47"/>
      <c r="G17" s="47"/>
      <c r="H17" s="46"/>
    </row>
    <row r="18" ht="21.0" customHeight="1">
      <c r="A18" s="52"/>
      <c r="B18" s="52" t="s">
        <v>175</v>
      </c>
      <c r="C18" s="53"/>
      <c r="D18" s="52"/>
      <c r="E18" s="52"/>
      <c r="F18" s="54"/>
      <c r="G18" s="52"/>
      <c r="H18" s="54"/>
    </row>
    <row r="19" ht="21.0" customHeight="1">
      <c r="A19" s="55" t="s">
        <v>176</v>
      </c>
      <c r="B19" s="56"/>
      <c r="C19" s="56"/>
      <c r="D19" s="56"/>
      <c r="E19" s="56"/>
      <c r="F19" s="56"/>
      <c r="G19" s="56"/>
      <c r="H19" s="57"/>
    </row>
    <row r="20" ht="21.0" customHeight="1">
      <c r="A20" s="58"/>
      <c r="H20" s="59"/>
    </row>
    <row r="21" ht="18.75" customHeight="1">
      <c r="A21" s="58"/>
      <c r="H21" s="59"/>
    </row>
    <row r="22" ht="18.75" customHeight="1">
      <c r="A22" s="58"/>
      <c r="H22" s="59"/>
    </row>
    <row r="23" ht="18.75" customHeight="1">
      <c r="A23" s="58"/>
      <c r="H23" s="59"/>
    </row>
    <row r="24" ht="18.75" customHeight="1">
      <c r="A24" s="58"/>
      <c r="H24" s="59"/>
    </row>
    <row r="25" ht="18.75" customHeight="1">
      <c r="A25" s="58"/>
      <c r="H25" s="59"/>
    </row>
    <row r="26" ht="18.75" customHeight="1">
      <c r="A26" s="58"/>
      <c r="H26" s="59"/>
    </row>
    <row r="27" ht="18.75" customHeight="1">
      <c r="A27" s="58"/>
      <c r="H27" s="59"/>
    </row>
    <row r="28" ht="18.75" customHeight="1">
      <c r="A28" s="58"/>
      <c r="H28" s="59"/>
    </row>
    <row r="29" ht="18.75" customHeight="1">
      <c r="A29" s="58"/>
      <c r="H29" s="59"/>
    </row>
    <row r="30" ht="18.75" customHeight="1">
      <c r="A30" s="58"/>
      <c r="H30" s="59"/>
    </row>
    <row r="31" ht="18.75" customHeight="1">
      <c r="A31" s="60"/>
      <c r="B31" s="61"/>
      <c r="C31" s="61"/>
      <c r="D31" s="61"/>
      <c r="E31" s="61"/>
      <c r="F31" s="61"/>
      <c r="G31" s="61"/>
      <c r="H31" s="62"/>
    </row>
    <row r="32" ht="18.75" customHeight="1">
      <c r="A32" s="63" t="s">
        <v>177</v>
      </c>
      <c r="B32" s="56"/>
      <c r="C32" s="56"/>
      <c r="D32" s="56"/>
      <c r="E32" s="56"/>
      <c r="F32" s="56"/>
      <c r="G32" s="56"/>
      <c r="H32" s="57"/>
    </row>
    <row r="33" ht="18.75" customHeight="1">
      <c r="A33" s="58"/>
      <c r="H33" s="59"/>
    </row>
    <row r="34" ht="18.75" customHeight="1">
      <c r="A34" s="58"/>
      <c r="H34" s="59"/>
    </row>
    <row r="35" ht="18.75" customHeight="1">
      <c r="A35" s="60"/>
      <c r="B35" s="61"/>
      <c r="C35" s="61"/>
      <c r="D35" s="61"/>
      <c r="E35" s="61"/>
      <c r="F35" s="61"/>
      <c r="G35" s="61"/>
      <c r="H35" s="62"/>
    </row>
    <row r="36" ht="18.75" customHeight="1"/>
    <row r="37" ht="18.75" customHeight="1"/>
    <row r="38" ht="18.75" customHeight="1"/>
    <row r="39" ht="18.75" customHeight="1"/>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mergeCells count="17">
    <mergeCell ref="B10:B11"/>
    <mergeCell ref="C10:C11"/>
    <mergeCell ref="A12:A17"/>
    <mergeCell ref="B12:B16"/>
    <mergeCell ref="A19:H31"/>
    <mergeCell ref="A32:H35"/>
    <mergeCell ref="D10:D11"/>
    <mergeCell ref="E10:E11"/>
    <mergeCell ref="F10:G10"/>
    <mergeCell ref="H10:H11"/>
    <mergeCell ref="A2:C2"/>
    <mergeCell ref="E2:H2"/>
    <mergeCell ref="A3:C3"/>
    <mergeCell ref="E3:H3"/>
    <mergeCell ref="E4:H4"/>
    <mergeCell ref="A5:H5"/>
    <mergeCell ref="A10:A11"/>
  </mergeCells>
  <hyperlinks>
    <hyperlink display="Ấn để trở về sheet &quot; Danh mục&quot;" location="'DANH MỤC'!A1" ref="I5"/>
  </hyperlink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5.0"/>
    <col customWidth="1" min="2" max="2" width="14.0"/>
    <col customWidth="1" min="3" max="3" width="47.0"/>
    <col customWidth="1" hidden="1" min="4" max="4" width="20.0"/>
    <col customWidth="1" min="5" max="5" width="24.0"/>
    <col customWidth="1" min="6" max="7" width="9.0"/>
    <col customWidth="1" min="8" max="8" width="21.0"/>
    <col customWidth="1" min="9" max="9" width="41.0"/>
    <col customWidth="1" min="10" max="26" width="14.0"/>
  </cols>
  <sheetData>
    <row r="1" ht="21.0" customHeight="1">
      <c r="A1" s="19"/>
      <c r="B1" s="19"/>
      <c r="C1" s="20"/>
      <c r="D1" s="21"/>
      <c r="E1" s="21"/>
      <c r="F1" s="22"/>
      <c r="G1" s="21"/>
      <c r="H1" s="22"/>
    </row>
    <row r="2" ht="18.75" customHeight="1">
      <c r="A2" s="69" t="s">
        <v>111</v>
      </c>
      <c r="D2" s="70"/>
      <c r="E2" s="26" t="s">
        <v>112</v>
      </c>
    </row>
    <row r="3" ht="21.0" customHeight="1">
      <c r="A3" s="1"/>
      <c r="D3" s="70"/>
      <c r="E3" s="1" t="s">
        <v>113</v>
      </c>
    </row>
    <row r="4" ht="21.0" customHeight="1">
      <c r="A4" s="70"/>
      <c r="B4" s="70"/>
      <c r="C4" s="70"/>
      <c r="D4" s="70"/>
      <c r="E4" s="26" t="s">
        <v>114</v>
      </c>
    </row>
    <row r="5" ht="21.75" customHeight="1">
      <c r="A5" s="27" t="s">
        <v>115</v>
      </c>
      <c r="I5" s="28" t="s">
        <v>116</v>
      </c>
    </row>
    <row r="6" ht="21.75" customHeight="1">
      <c r="A6" s="29" t="s">
        <v>117</v>
      </c>
      <c r="B6" s="30"/>
      <c r="C6" s="31" t="str">
        <f>+'DANH MỤC'!A2</f>
        <v>Công trình:</v>
      </c>
      <c r="D6" s="32"/>
      <c r="E6" s="32"/>
      <c r="F6" s="32"/>
      <c r="G6" s="32"/>
      <c r="H6" s="32"/>
    </row>
    <row r="7" ht="21.75" customHeight="1">
      <c r="A7" s="29"/>
      <c r="B7" s="32"/>
      <c r="C7" s="33" t="str">
        <f>+'DANH MỤC'!A3</f>
        <v>Địa điểm:</v>
      </c>
      <c r="D7" s="32"/>
      <c r="E7" s="32"/>
      <c r="F7" s="32"/>
      <c r="G7" s="32"/>
      <c r="H7" s="32"/>
    </row>
    <row r="8" ht="21.75" customHeight="1">
      <c r="A8" s="29"/>
      <c r="B8" s="32"/>
      <c r="C8" s="33" t="str">
        <f>"Công tác"&amp;": "&amp;'DANH MỤC'!B24</f>
        <v>Công tác: Đào đất móng</v>
      </c>
      <c r="D8" s="32"/>
      <c r="E8" s="32"/>
      <c r="F8" s="32"/>
      <c r="G8" s="32"/>
      <c r="H8" s="32"/>
    </row>
    <row r="9" ht="21.75" customHeight="1">
      <c r="A9" s="34"/>
      <c r="B9" s="35"/>
      <c r="C9" s="36"/>
      <c r="D9" s="35"/>
      <c r="E9" s="35"/>
      <c r="F9" s="35"/>
      <c r="G9" s="35"/>
    </row>
    <row r="10" ht="21.75" customHeight="1">
      <c r="A10" s="37" t="s">
        <v>3</v>
      </c>
      <c r="B10" s="37" t="s">
        <v>118</v>
      </c>
      <c r="C10" s="38" t="s">
        <v>119</v>
      </c>
      <c r="D10" s="38" t="s">
        <v>120</v>
      </c>
      <c r="E10" s="38" t="s">
        <v>121</v>
      </c>
      <c r="F10" s="39" t="s">
        <v>122</v>
      </c>
      <c r="G10" s="40"/>
      <c r="H10" s="38" t="s">
        <v>123</v>
      </c>
    </row>
    <row r="11" ht="21.75" customHeight="1">
      <c r="A11" s="41"/>
      <c r="B11" s="41"/>
      <c r="C11" s="41"/>
      <c r="D11" s="41"/>
      <c r="E11" s="41"/>
      <c r="F11" s="42" t="s">
        <v>124</v>
      </c>
      <c r="G11" s="42" t="s">
        <v>125</v>
      </c>
      <c r="H11" s="41"/>
    </row>
    <row r="12" ht="99.0" customHeight="1">
      <c r="A12" s="43">
        <v>1.0</v>
      </c>
      <c r="B12" s="38" t="s">
        <v>231</v>
      </c>
      <c r="C12" s="44" t="s">
        <v>346</v>
      </c>
      <c r="D12" s="45" t="s">
        <v>201</v>
      </c>
      <c r="E12" s="46" t="s">
        <v>233</v>
      </c>
      <c r="F12" s="47"/>
      <c r="G12" s="47"/>
      <c r="H12" s="45"/>
    </row>
    <row r="13" ht="81.75" customHeight="1">
      <c r="A13" s="48"/>
      <c r="B13" s="48"/>
      <c r="C13" s="44" t="s">
        <v>347</v>
      </c>
      <c r="D13" s="45" t="s">
        <v>229</v>
      </c>
      <c r="E13" s="46" t="s">
        <v>348</v>
      </c>
      <c r="F13" s="47"/>
      <c r="G13" s="47"/>
      <c r="H13" s="45" t="s">
        <v>349</v>
      </c>
    </row>
    <row r="14" ht="58.5" customHeight="1">
      <c r="A14" s="48"/>
      <c r="B14" s="48"/>
      <c r="C14" s="44" t="s">
        <v>350</v>
      </c>
      <c r="D14" s="45" t="s">
        <v>132</v>
      </c>
      <c r="E14" s="46" t="s">
        <v>348</v>
      </c>
      <c r="F14" s="47"/>
      <c r="G14" s="47"/>
      <c r="H14" s="45" t="s">
        <v>349</v>
      </c>
    </row>
    <row r="15" ht="70.5" customHeight="1">
      <c r="A15" s="48"/>
      <c r="B15" s="48"/>
      <c r="C15" s="44" t="s">
        <v>351</v>
      </c>
      <c r="D15" s="45" t="s">
        <v>201</v>
      </c>
      <c r="E15" s="46" t="s">
        <v>348</v>
      </c>
      <c r="F15" s="47"/>
      <c r="G15" s="47"/>
      <c r="H15" s="45" t="s">
        <v>349</v>
      </c>
    </row>
    <row r="16" ht="84.0" customHeight="1">
      <c r="A16" s="48"/>
      <c r="B16" s="48"/>
      <c r="C16" s="44" t="s">
        <v>352</v>
      </c>
      <c r="D16" s="45" t="s">
        <v>201</v>
      </c>
      <c r="E16" s="46" t="s">
        <v>348</v>
      </c>
      <c r="F16" s="47"/>
      <c r="G16" s="47"/>
      <c r="H16" s="45" t="s">
        <v>349</v>
      </c>
    </row>
    <row r="17" ht="81.0" customHeight="1">
      <c r="A17" s="41"/>
      <c r="B17" s="41"/>
      <c r="C17" s="44" t="s">
        <v>241</v>
      </c>
      <c r="D17" s="45" t="s">
        <v>229</v>
      </c>
      <c r="E17" s="66" t="s">
        <v>242</v>
      </c>
      <c r="F17" s="47"/>
      <c r="G17" s="47"/>
      <c r="H17" s="45"/>
    </row>
    <row r="18" ht="21.0" customHeight="1">
      <c r="A18" s="52"/>
      <c r="B18" s="52" t="s">
        <v>175</v>
      </c>
      <c r="C18" s="53"/>
      <c r="D18" s="52"/>
      <c r="E18" s="52"/>
      <c r="F18" s="54"/>
      <c r="G18" s="52"/>
      <c r="H18" s="54"/>
    </row>
    <row r="19" ht="21.0" customHeight="1">
      <c r="A19" s="55" t="s">
        <v>176</v>
      </c>
      <c r="B19" s="56"/>
      <c r="C19" s="56"/>
      <c r="D19" s="56"/>
      <c r="E19" s="56"/>
      <c r="F19" s="56"/>
      <c r="G19" s="56"/>
      <c r="H19" s="57"/>
    </row>
    <row r="20" ht="21.0" customHeight="1">
      <c r="A20" s="58"/>
      <c r="H20" s="59"/>
    </row>
    <row r="21" ht="18.75" customHeight="1">
      <c r="A21" s="58"/>
      <c r="H21" s="59"/>
    </row>
    <row r="22" ht="18.75" customHeight="1">
      <c r="A22" s="58"/>
      <c r="H22" s="59"/>
    </row>
    <row r="23" ht="18.75" customHeight="1">
      <c r="A23" s="58"/>
      <c r="H23" s="59"/>
    </row>
    <row r="24" ht="18.75" customHeight="1">
      <c r="A24" s="58"/>
      <c r="H24" s="59"/>
    </row>
    <row r="25" ht="18.75" customHeight="1">
      <c r="A25" s="58"/>
      <c r="H25" s="59"/>
    </row>
    <row r="26" ht="18.75" customHeight="1">
      <c r="A26" s="58"/>
      <c r="H26" s="59"/>
    </row>
    <row r="27" ht="18.75" customHeight="1">
      <c r="A27" s="58"/>
      <c r="H27" s="59"/>
    </row>
    <row r="28" ht="18.75" customHeight="1">
      <c r="A28" s="58"/>
      <c r="H28" s="59"/>
    </row>
    <row r="29" ht="18.75" customHeight="1">
      <c r="A29" s="58"/>
      <c r="H29" s="59"/>
    </row>
    <row r="30" ht="18.75" customHeight="1">
      <c r="A30" s="58"/>
      <c r="H30" s="59"/>
    </row>
    <row r="31" ht="18.75" customHeight="1">
      <c r="A31" s="60"/>
      <c r="B31" s="61"/>
      <c r="C31" s="61"/>
      <c r="D31" s="61"/>
      <c r="E31" s="61"/>
      <c r="F31" s="61"/>
      <c r="G31" s="61"/>
      <c r="H31" s="62"/>
    </row>
    <row r="32" ht="18.75" customHeight="1">
      <c r="A32" s="63" t="s">
        <v>177</v>
      </c>
      <c r="B32" s="56"/>
      <c r="C32" s="56"/>
      <c r="D32" s="56"/>
      <c r="E32" s="56"/>
      <c r="F32" s="56"/>
      <c r="G32" s="56"/>
      <c r="H32" s="57"/>
    </row>
    <row r="33" ht="18.75" customHeight="1">
      <c r="A33" s="58"/>
      <c r="H33" s="59"/>
    </row>
    <row r="34" ht="18.75" customHeight="1">
      <c r="A34" s="58"/>
      <c r="H34" s="59"/>
    </row>
    <row r="35" ht="18.75" customHeight="1">
      <c r="A35" s="60"/>
      <c r="B35" s="61"/>
      <c r="C35" s="61"/>
      <c r="D35" s="61"/>
      <c r="E35" s="61"/>
      <c r="F35" s="61"/>
      <c r="G35" s="61"/>
      <c r="H35" s="62"/>
    </row>
    <row r="36" ht="18.75" customHeight="1"/>
    <row r="37" ht="18.75" customHeight="1"/>
    <row r="38" ht="18.75" customHeight="1"/>
    <row r="39" ht="18.75" customHeight="1"/>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mergeCells count="17">
    <mergeCell ref="B10:B11"/>
    <mergeCell ref="C10:C11"/>
    <mergeCell ref="A12:A17"/>
    <mergeCell ref="B12:B17"/>
    <mergeCell ref="A19:H31"/>
    <mergeCell ref="A32:H35"/>
    <mergeCell ref="D10:D11"/>
    <mergeCell ref="E10:E11"/>
    <mergeCell ref="F10:G10"/>
    <mergeCell ref="H10:H11"/>
    <mergeCell ref="A2:C2"/>
    <mergeCell ref="E2:H2"/>
    <mergeCell ref="A3:C3"/>
    <mergeCell ref="E3:H3"/>
    <mergeCell ref="E4:H4"/>
    <mergeCell ref="A5:H5"/>
    <mergeCell ref="A10:A11"/>
  </mergeCells>
  <hyperlinks>
    <hyperlink display="Ấn để trở về sheet &quot; Danh mục&quot;" location="'DANH MỤC'!A1" ref="I5"/>
  </hyperlink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5.0"/>
    <col customWidth="1" min="2" max="2" width="14.0"/>
    <col customWidth="1" min="3" max="3" width="47.0"/>
    <col customWidth="1" min="4" max="4" width="21.0"/>
    <col customWidth="1" min="5" max="5" width="24.0"/>
    <col customWidth="1" min="6" max="7" width="9.0"/>
    <col customWidth="1" min="8" max="8" width="21.0"/>
    <col customWidth="1" min="9" max="9" width="43.0"/>
    <col customWidth="1" min="10" max="26" width="14.0"/>
  </cols>
  <sheetData>
    <row r="1" ht="21.0" customHeight="1">
      <c r="A1" s="19"/>
      <c r="B1" s="19"/>
      <c r="C1" s="20"/>
      <c r="D1" s="21"/>
      <c r="E1" s="21"/>
      <c r="F1" s="22"/>
      <c r="G1" s="21"/>
      <c r="H1" s="22"/>
    </row>
    <row r="2" ht="18.75" customHeight="1">
      <c r="A2" s="69" t="s">
        <v>111</v>
      </c>
      <c r="D2" s="70"/>
      <c r="E2" s="26" t="s">
        <v>112</v>
      </c>
    </row>
    <row r="3" ht="21.0" customHeight="1">
      <c r="A3" s="1"/>
      <c r="D3" s="70"/>
      <c r="E3" s="1" t="s">
        <v>113</v>
      </c>
    </row>
    <row r="4" ht="21.0" customHeight="1">
      <c r="A4" s="70"/>
      <c r="B4" s="70"/>
      <c r="C4" s="70"/>
      <c r="D4" s="70"/>
      <c r="E4" s="26" t="s">
        <v>114</v>
      </c>
    </row>
    <row r="5" ht="21.75" customHeight="1">
      <c r="A5" s="27" t="s">
        <v>115</v>
      </c>
      <c r="I5" s="28" t="s">
        <v>116</v>
      </c>
    </row>
    <row r="6" ht="21.75" customHeight="1">
      <c r="A6" s="29" t="s">
        <v>117</v>
      </c>
      <c r="B6" s="30"/>
      <c r="C6" s="31" t="str">
        <f>+'DANH MỤC'!A2</f>
        <v>Công trình:</v>
      </c>
      <c r="D6" s="32"/>
      <c r="E6" s="32"/>
      <c r="F6" s="32"/>
      <c r="G6" s="32"/>
      <c r="H6" s="32"/>
    </row>
    <row r="7" ht="21.75" customHeight="1">
      <c r="A7" s="29"/>
      <c r="B7" s="32"/>
      <c r="C7" s="33" t="str">
        <f>+'DANH MỤC'!A3</f>
        <v>Địa điểm:</v>
      </c>
      <c r="D7" s="32"/>
      <c r="E7" s="32"/>
      <c r="F7" s="32"/>
      <c r="G7" s="32"/>
      <c r="H7" s="32"/>
    </row>
    <row r="8" ht="21.75" customHeight="1">
      <c r="A8" s="29"/>
      <c r="B8" s="32"/>
      <c r="C8" s="33" t="str">
        <f>"Công tác"&amp;": "&amp;'DANH MỤC'!B25</f>
        <v>Công tác: Gia công lắp dựng cốt thép móng, cổ cột</v>
      </c>
      <c r="D8" s="32"/>
      <c r="E8" s="32"/>
      <c r="F8" s="32"/>
      <c r="G8" s="32"/>
      <c r="H8" s="32"/>
    </row>
    <row r="9" ht="21.75" customHeight="1">
      <c r="A9" s="34"/>
      <c r="B9" s="35"/>
      <c r="C9" s="36"/>
      <c r="D9" s="35"/>
      <c r="E9" s="35"/>
      <c r="F9" s="35"/>
      <c r="G9" s="35"/>
    </row>
    <row r="10" ht="21.75" customHeight="1">
      <c r="A10" s="37" t="s">
        <v>3</v>
      </c>
      <c r="B10" s="37" t="s">
        <v>118</v>
      </c>
      <c r="C10" s="38" t="s">
        <v>119</v>
      </c>
      <c r="D10" s="38" t="s">
        <v>120</v>
      </c>
      <c r="E10" s="38" t="s">
        <v>121</v>
      </c>
      <c r="F10" s="39" t="s">
        <v>122</v>
      </c>
      <c r="G10" s="40"/>
      <c r="H10" s="38" t="s">
        <v>123</v>
      </c>
    </row>
    <row r="11" ht="21.75" customHeight="1">
      <c r="A11" s="41"/>
      <c r="B11" s="41"/>
      <c r="C11" s="41"/>
      <c r="D11" s="41"/>
      <c r="E11" s="41"/>
      <c r="F11" s="42" t="s">
        <v>124</v>
      </c>
      <c r="G11" s="42" t="s">
        <v>125</v>
      </c>
      <c r="H11" s="41"/>
    </row>
    <row r="12" ht="99.0" customHeight="1">
      <c r="A12" s="43">
        <v>1.0</v>
      </c>
      <c r="B12" s="38" t="s">
        <v>353</v>
      </c>
      <c r="C12" s="44" t="s">
        <v>354</v>
      </c>
      <c r="D12" s="46" t="s">
        <v>321</v>
      </c>
      <c r="E12" s="46" t="s">
        <v>355</v>
      </c>
      <c r="F12" s="47"/>
      <c r="G12" s="47"/>
      <c r="H12" s="45"/>
    </row>
    <row r="13" ht="99.0" customHeight="1">
      <c r="A13" s="48"/>
      <c r="B13" s="48"/>
      <c r="C13" s="44" t="s">
        <v>356</v>
      </c>
      <c r="D13" s="46" t="s">
        <v>357</v>
      </c>
      <c r="E13" s="46" t="s">
        <v>358</v>
      </c>
      <c r="F13" s="47"/>
      <c r="G13" s="47"/>
      <c r="H13" s="45"/>
    </row>
    <row r="14" ht="99.0" customHeight="1">
      <c r="A14" s="48"/>
      <c r="B14" s="48"/>
      <c r="C14" s="44" t="s">
        <v>359</v>
      </c>
      <c r="D14" s="46" t="s">
        <v>357</v>
      </c>
      <c r="E14" s="46" t="s">
        <v>133</v>
      </c>
      <c r="F14" s="47"/>
      <c r="G14" s="47"/>
      <c r="H14" s="45" t="s">
        <v>319</v>
      </c>
    </row>
    <row r="15" ht="81.75" customHeight="1">
      <c r="A15" s="48"/>
      <c r="B15" s="48"/>
      <c r="C15" s="44" t="s">
        <v>360</v>
      </c>
      <c r="D15" s="46" t="s">
        <v>361</v>
      </c>
      <c r="E15" s="45" t="s">
        <v>362</v>
      </c>
      <c r="F15" s="47"/>
      <c r="G15" s="47"/>
      <c r="H15" s="45" t="s">
        <v>319</v>
      </c>
    </row>
    <row r="16" ht="81.75" customHeight="1">
      <c r="A16" s="48"/>
      <c r="B16" s="48"/>
      <c r="C16" s="44" t="s">
        <v>363</v>
      </c>
      <c r="D16" s="46" t="s">
        <v>361</v>
      </c>
      <c r="E16" s="45" t="s">
        <v>364</v>
      </c>
      <c r="F16" s="47"/>
      <c r="G16" s="47"/>
      <c r="H16" s="45" t="s">
        <v>319</v>
      </c>
    </row>
    <row r="17" ht="58.5" customHeight="1">
      <c r="A17" s="48"/>
      <c r="B17" s="48"/>
      <c r="C17" s="44" t="s">
        <v>365</v>
      </c>
      <c r="D17" s="46" t="s">
        <v>361</v>
      </c>
      <c r="E17" s="45" t="s">
        <v>364</v>
      </c>
      <c r="F17" s="47"/>
      <c r="G17" s="47"/>
      <c r="H17" s="45" t="s">
        <v>319</v>
      </c>
    </row>
    <row r="18" ht="183.75" customHeight="1">
      <c r="A18" s="48"/>
      <c r="B18" s="48"/>
      <c r="C18" s="44" t="s">
        <v>366</v>
      </c>
      <c r="D18" s="46" t="s">
        <v>361</v>
      </c>
      <c r="E18" s="46" t="s">
        <v>133</v>
      </c>
      <c r="F18" s="47"/>
      <c r="G18" s="47"/>
      <c r="H18" s="45" t="s">
        <v>319</v>
      </c>
    </row>
    <row r="19" ht="84.0" customHeight="1">
      <c r="A19" s="48"/>
      <c r="B19" s="48"/>
      <c r="C19" s="44" t="s">
        <v>367</v>
      </c>
      <c r="D19" s="46" t="s">
        <v>361</v>
      </c>
      <c r="E19" s="46" t="s">
        <v>133</v>
      </c>
      <c r="F19" s="47"/>
      <c r="G19" s="47"/>
      <c r="H19" s="45" t="s">
        <v>319</v>
      </c>
    </row>
    <row r="20" ht="84.0" customHeight="1">
      <c r="A20" s="48"/>
      <c r="B20" s="38" t="s">
        <v>368</v>
      </c>
      <c r="C20" s="44" t="s">
        <v>369</v>
      </c>
      <c r="D20" s="46" t="s">
        <v>357</v>
      </c>
      <c r="E20" s="46" t="s">
        <v>133</v>
      </c>
      <c r="F20" s="47"/>
      <c r="G20" s="47"/>
      <c r="H20" s="45" t="s">
        <v>319</v>
      </c>
    </row>
    <row r="21" ht="84.0" customHeight="1">
      <c r="A21" s="48"/>
      <c r="B21" s="41"/>
      <c r="C21" s="44" t="s">
        <v>370</v>
      </c>
      <c r="D21" s="46" t="s">
        <v>361</v>
      </c>
      <c r="E21" s="45" t="s">
        <v>364</v>
      </c>
      <c r="F21" s="47"/>
      <c r="G21" s="47"/>
      <c r="H21" s="45" t="s">
        <v>319</v>
      </c>
    </row>
    <row r="22" ht="81.0" customHeight="1">
      <c r="A22" s="48"/>
      <c r="B22" s="38" t="s">
        <v>371</v>
      </c>
      <c r="C22" s="44" t="s">
        <v>372</v>
      </c>
      <c r="D22" s="100" t="s">
        <v>229</v>
      </c>
      <c r="E22" s="66" t="s">
        <v>373</v>
      </c>
      <c r="F22" s="47"/>
      <c r="G22" s="47"/>
      <c r="H22" s="45"/>
    </row>
    <row r="23" ht="60.0" customHeight="1">
      <c r="A23" s="68"/>
      <c r="B23" s="41"/>
      <c r="C23" s="44" t="s">
        <v>374</v>
      </c>
      <c r="D23" s="101" t="s">
        <v>229</v>
      </c>
      <c r="E23" s="66" t="s">
        <v>373</v>
      </c>
      <c r="F23" s="47"/>
      <c r="G23" s="47"/>
      <c r="H23" s="45"/>
    </row>
    <row r="24" ht="21.0" customHeight="1">
      <c r="A24" s="52"/>
      <c r="B24" s="52" t="s">
        <v>175</v>
      </c>
      <c r="C24" s="53"/>
      <c r="D24" s="52"/>
      <c r="E24" s="52"/>
      <c r="F24" s="54"/>
      <c r="G24" s="52"/>
      <c r="H24" s="54"/>
    </row>
    <row r="25" ht="21.0" customHeight="1">
      <c r="A25" s="55" t="s">
        <v>176</v>
      </c>
      <c r="B25" s="56"/>
      <c r="C25" s="56"/>
      <c r="D25" s="56"/>
      <c r="E25" s="56"/>
      <c r="F25" s="56"/>
      <c r="G25" s="56"/>
      <c r="H25" s="57"/>
    </row>
    <row r="26" ht="18.75" customHeight="1">
      <c r="A26" s="58"/>
      <c r="H26" s="59"/>
    </row>
    <row r="27" ht="18.75" customHeight="1">
      <c r="A27" s="58"/>
      <c r="H27" s="59"/>
    </row>
    <row r="28" ht="18.75" customHeight="1">
      <c r="A28" s="58"/>
      <c r="H28" s="59"/>
    </row>
    <row r="29" ht="18.75" customHeight="1">
      <c r="A29" s="58"/>
      <c r="H29" s="59"/>
    </row>
    <row r="30" ht="18.75" customHeight="1">
      <c r="A30" s="58"/>
      <c r="H30" s="59"/>
    </row>
    <row r="31" ht="18.75" customHeight="1">
      <c r="A31" s="58"/>
      <c r="H31" s="59"/>
    </row>
    <row r="32" ht="18.75" customHeight="1">
      <c r="A32" s="58"/>
      <c r="H32" s="59"/>
    </row>
    <row r="33" ht="18.75" customHeight="1">
      <c r="A33" s="58"/>
      <c r="H33" s="59"/>
    </row>
    <row r="34" ht="18.75" customHeight="1">
      <c r="A34" s="58"/>
      <c r="H34" s="59"/>
    </row>
    <row r="35" ht="18.75" customHeight="1">
      <c r="A35" s="58"/>
      <c r="H35" s="59"/>
    </row>
    <row r="36" ht="18.75" customHeight="1">
      <c r="A36" s="58"/>
      <c r="H36" s="59"/>
    </row>
    <row r="37" ht="18.75" customHeight="1">
      <c r="A37" s="60"/>
      <c r="B37" s="61"/>
      <c r="C37" s="61"/>
      <c r="D37" s="61"/>
      <c r="E37" s="61"/>
      <c r="F37" s="61"/>
      <c r="G37" s="61"/>
      <c r="H37" s="62"/>
    </row>
    <row r="38" ht="18.75" customHeight="1">
      <c r="A38" s="63" t="s">
        <v>177</v>
      </c>
      <c r="B38" s="56"/>
      <c r="C38" s="56"/>
      <c r="D38" s="56"/>
      <c r="E38" s="56"/>
      <c r="F38" s="56"/>
      <c r="G38" s="56"/>
      <c r="H38" s="57"/>
    </row>
    <row r="39" ht="18.75" customHeight="1">
      <c r="A39" s="58"/>
      <c r="H39" s="59"/>
    </row>
    <row r="40" ht="18.75" customHeight="1">
      <c r="A40" s="58"/>
      <c r="H40" s="59"/>
    </row>
    <row r="41" ht="18.75" customHeight="1">
      <c r="A41" s="60"/>
      <c r="B41" s="61"/>
      <c r="C41" s="61"/>
      <c r="D41" s="61"/>
      <c r="E41" s="61"/>
      <c r="F41" s="61"/>
      <c r="G41" s="61"/>
      <c r="H41" s="62"/>
    </row>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mergeCells count="19">
    <mergeCell ref="B10:B11"/>
    <mergeCell ref="C10:C11"/>
    <mergeCell ref="A12:A22"/>
    <mergeCell ref="B12:B19"/>
    <mergeCell ref="B20:B21"/>
    <mergeCell ref="B22:B23"/>
    <mergeCell ref="A25:H37"/>
    <mergeCell ref="A38:H41"/>
    <mergeCell ref="D10:D11"/>
    <mergeCell ref="E10:E11"/>
    <mergeCell ref="F10:G10"/>
    <mergeCell ref="H10:H11"/>
    <mergeCell ref="A2:C2"/>
    <mergeCell ref="E2:H2"/>
    <mergeCell ref="A3:C3"/>
    <mergeCell ref="E3:H3"/>
    <mergeCell ref="E4:H4"/>
    <mergeCell ref="A5:H5"/>
    <mergeCell ref="A10:A11"/>
  </mergeCells>
  <hyperlinks>
    <hyperlink display="Ấn để trở về sheet &quot; Danh mục&quot;" location="'DANH MỤC'!A1" ref="I5"/>
  </hyperlink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5.0"/>
    <col customWidth="1" min="2" max="2" width="14.0"/>
    <col customWidth="1" min="3" max="3" width="47.0"/>
    <col customWidth="1" hidden="1" min="4" max="4" width="21.0"/>
    <col customWidth="1" min="5" max="5" width="24.0"/>
    <col customWidth="1" min="6" max="7" width="9.0"/>
    <col customWidth="1" min="8" max="8" width="21.0"/>
    <col customWidth="1" min="9" max="9" width="38.0"/>
    <col customWidth="1" min="10" max="26" width="14.0"/>
  </cols>
  <sheetData>
    <row r="1" ht="21.0" customHeight="1">
      <c r="A1" s="19"/>
      <c r="B1" s="19"/>
      <c r="C1" s="20"/>
      <c r="D1" s="21"/>
      <c r="E1" s="21"/>
      <c r="F1" s="22"/>
      <c r="G1" s="21"/>
      <c r="H1" s="22"/>
    </row>
    <row r="2" ht="18.75" customHeight="1">
      <c r="A2" s="69" t="s">
        <v>111</v>
      </c>
      <c r="D2" s="70"/>
      <c r="E2" s="26" t="s">
        <v>112</v>
      </c>
    </row>
    <row r="3" ht="21.0" customHeight="1">
      <c r="A3" s="1"/>
      <c r="D3" s="70"/>
      <c r="E3" s="1" t="s">
        <v>113</v>
      </c>
    </row>
    <row r="4" ht="21.0" customHeight="1">
      <c r="A4" s="70"/>
      <c r="B4" s="70"/>
      <c r="C4" s="70"/>
      <c r="D4" s="70"/>
      <c r="E4" s="26" t="s">
        <v>114</v>
      </c>
    </row>
    <row r="5" ht="21.75" customHeight="1">
      <c r="A5" s="27" t="s">
        <v>115</v>
      </c>
      <c r="I5" s="28" t="s">
        <v>116</v>
      </c>
    </row>
    <row r="6" ht="21.75" customHeight="1">
      <c r="A6" s="29" t="s">
        <v>117</v>
      </c>
      <c r="B6" s="30"/>
      <c r="C6" s="31" t="str">
        <f>+'DANH MỤC'!A2</f>
        <v>Công trình:</v>
      </c>
      <c r="D6" s="32"/>
      <c r="E6" s="32"/>
      <c r="F6" s="32"/>
      <c r="G6" s="32"/>
      <c r="H6" s="32"/>
    </row>
    <row r="7" ht="21.75" customHeight="1">
      <c r="A7" s="29"/>
      <c r="B7" s="32"/>
      <c r="C7" s="33" t="str">
        <f>+'DANH MỤC'!A3</f>
        <v>Địa điểm:</v>
      </c>
      <c r="D7" s="32"/>
      <c r="E7" s="32"/>
      <c r="F7" s="32"/>
      <c r="G7" s="32"/>
      <c r="H7" s="32"/>
    </row>
    <row r="8" ht="21.75" customHeight="1">
      <c r="A8" s="29"/>
      <c r="B8" s="32"/>
      <c r="C8" s="33" t="str">
        <f>"Công tác"&amp;": "&amp;'DANH MỤC'!B26</f>
        <v>Công tác: Gia công lắp dựng ván khuôn móng</v>
      </c>
      <c r="D8" s="32"/>
      <c r="E8" s="32"/>
      <c r="F8" s="32"/>
      <c r="G8" s="32"/>
      <c r="H8" s="32"/>
    </row>
    <row r="9" ht="21.75" customHeight="1">
      <c r="A9" s="34"/>
      <c r="B9" s="35"/>
      <c r="C9" s="36"/>
      <c r="D9" s="35"/>
      <c r="E9" s="35"/>
      <c r="F9" s="35"/>
      <c r="G9" s="35"/>
    </row>
    <row r="10" ht="21.75" customHeight="1">
      <c r="A10" s="37" t="s">
        <v>3</v>
      </c>
      <c r="B10" s="37" t="s">
        <v>118</v>
      </c>
      <c r="C10" s="38" t="s">
        <v>119</v>
      </c>
      <c r="D10" s="38" t="s">
        <v>120</v>
      </c>
      <c r="E10" s="38" t="s">
        <v>121</v>
      </c>
      <c r="F10" s="39" t="s">
        <v>122</v>
      </c>
      <c r="G10" s="40"/>
      <c r="H10" s="38" t="s">
        <v>123</v>
      </c>
    </row>
    <row r="11" ht="21.75" customHeight="1">
      <c r="A11" s="41"/>
      <c r="B11" s="41"/>
      <c r="C11" s="41"/>
      <c r="D11" s="41"/>
      <c r="E11" s="41"/>
      <c r="F11" s="42" t="s">
        <v>124</v>
      </c>
      <c r="G11" s="42" t="s">
        <v>125</v>
      </c>
      <c r="H11" s="41"/>
    </row>
    <row r="12" ht="99.0" customHeight="1">
      <c r="A12" s="43">
        <v>1.0</v>
      </c>
      <c r="B12" s="38" t="s">
        <v>375</v>
      </c>
      <c r="C12" s="44" t="s">
        <v>376</v>
      </c>
      <c r="D12" s="46" t="s">
        <v>361</v>
      </c>
      <c r="E12" s="46" t="s">
        <v>377</v>
      </c>
      <c r="F12" s="47"/>
      <c r="G12" s="47"/>
      <c r="H12" s="45" t="s">
        <v>319</v>
      </c>
    </row>
    <row r="13" ht="81.75" customHeight="1">
      <c r="A13" s="48"/>
      <c r="B13" s="48"/>
      <c r="C13" s="44" t="s">
        <v>378</v>
      </c>
      <c r="D13" s="102" t="s">
        <v>379</v>
      </c>
      <c r="E13" s="45" t="s">
        <v>380</v>
      </c>
      <c r="F13" s="47"/>
      <c r="G13" s="47"/>
      <c r="H13" s="45" t="s">
        <v>319</v>
      </c>
    </row>
    <row r="14" ht="58.5" customHeight="1">
      <c r="A14" s="48"/>
      <c r="B14" s="48"/>
      <c r="C14" s="44" t="s">
        <v>381</v>
      </c>
      <c r="D14" s="46" t="s">
        <v>382</v>
      </c>
      <c r="E14" s="45" t="s">
        <v>383</v>
      </c>
      <c r="F14" s="47"/>
      <c r="G14" s="47"/>
      <c r="H14" s="45" t="s">
        <v>319</v>
      </c>
    </row>
    <row r="15" ht="70.5" customHeight="1">
      <c r="A15" s="48"/>
      <c r="B15" s="48"/>
      <c r="C15" s="44" t="s">
        <v>384</v>
      </c>
      <c r="D15" s="46" t="s">
        <v>385</v>
      </c>
      <c r="E15" s="45" t="s">
        <v>373</v>
      </c>
      <c r="F15" s="47"/>
      <c r="G15" s="47"/>
      <c r="H15" s="45" t="s">
        <v>319</v>
      </c>
    </row>
    <row r="16" ht="97.5" customHeight="1">
      <c r="A16" s="48"/>
      <c r="B16" s="48"/>
      <c r="C16" s="44" t="s">
        <v>386</v>
      </c>
      <c r="D16" s="46" t="s">
        <v>387</v>
      </c>
      <c r="E16" s="46" t="s">
        <v>388</v>
      </c>
      <c r="F16" s="47"/>
      <c r="G16" s="47"/>
      <c r="H16" s="45" t="s">
        <v>319</v>
      </c>
    </row>
    <row r="17" ht="84.0" customHeight="1">
      <c r="A17" s="48"/>
      <c r="B17" s="48"/>
      <c r="C17" s="44" t="s">
        <v>389</v>
      </c>
      <c r="D17" s="46" t="s">
        <v>361</v>
      </c>
      <c r="E17" s="46" t="s">
        <v>390</v>
      </c>
      <c r="F17" s="47"/>
      <c r="G17" s="47"/>
      <c r="H17" s="45" t="s">
        <v>319</v>
      </c>
    </row>
    <row r="18" ht="84.0" customHeight="1">
      <c r="A18" s="48"/>
      <c r="B18" s="48"/>
      <c r="C18" s="44" t="s">
        <v>391</v>
      </c>
      <c r="D18" s="46" t="s">
        <v>392</v>
      </c>
      <c r="E18" s="46" t="s">
        <v>133</v>
      </c>
      <c r="F18" s="47"/>
      <c r="G18" s="47"/>
      <c r="H18" s="45" t="s">
        <v>319</v>
      </c>
    </row>
    <row r="19" ht="84.0" customHeight="1">
      <c r="A19" s="48"/>
      <c r="B19" s="48"/>
      <c r="C19" s="44" t="s">
        <v>393</v>
      </c>
      <c r="D19" s="102" t="s">
        <v>394</v>
      </c>
      <c r="E19" s="103" t="s">
        <v>395</v>
      </c>
      <c r="F19" s="104"/>
      <c r="G19" s="47"/>
      <c r="H19" s="45" t="s">
        <v>319</v>
      </c>
    </row>
    <row r="20" ht="81.0" customHeight="1">
      <c r="A20" s="41"/>
      <c r="B20" s="41"/>
      <c r="C20" s="44" t="s">
        <v>396</v>
      </c>
      <c r="D20" s="101" t="s">
        <v>229</v>
      </c>
      <c r="E20" s="66" t="s">
        <v>373</v>
      </c>
      <c r="F20" s="47"/>
      <c r="G20" s="47"/>
      <c r="H20" s="45"/>
    </row>
    <row r="21" ht="21.0" customHeight="1">
      <c r="A21" s="52"/>
      <c r="B21" s="52" t="s">
        <v>175</v>
      </c>
      <c r="C21" s="53"/>
      <c r="D21" s="52"/>
      <c r="E21" s="52"/>
      <c r="F21" s="54"/>
      <c r="G21" s="52"/>
      <c r="H21" s="54"/>
    </row>
    <row r="22" ht="21.0" customHeight="1">
      <c r="A22" s="55" t="s">
        <v>176</v>
      </c>
      <c r="B22" s="56"/>
      <c r="C22" s="56"/>
      <c r="D22" s="56"/>
      <c r="E22" s="56"/>
      <c r="F22" s="56"/>
      <c r="G22" s="56"/>
      <c r="H22" s="57"/>
    </row>
    <row r="23" ht="18.75" customHeight="1">
      <c r="A23" s="58"/>
      <c r="H23" s="59"/>
    </row>
    <row r="24" ht="18.75" customHeight="1">
      <c r="A24" s="58"/>
      <c r="H24" s="59"/>
    </row>
    <row r="25" ht="18.75" customHeight="1">
      <c r="A25" s="58"/>
      <c r="H25" s="59"/>
    </row>
    <row r="26" ht="18.75" customHeight="1">
      <c r="A26" s="58"/>
      <c r="H26" s="59"/>
    </row>
    <row r="27" ht="18.75" customHeight="1">
      <c r="A27" s="58"/>
      <c r="H27" s="59"/>
    </row>
    <row r="28" ht="18.75" customHeight="1">
      <c r="A28" s="58"/>
      <c r="H28" s="59"/>
    </row>
    <row r="29" ht="18.75" customHeight="1">
      <c r="A29" s="58"/>
      <c r="H29" s="59"/>
    </row>
    <row r="30" ht="18.75" customHeight="1">
      <c r="A30" s="58"/>
      <c r="H30" s="59"/>
    </row>
    <row r="31" ht="18.75" customHeight="1">
      <c r="A31" s="58"/>
      <c r="H31" s="59"/>
    </row>
    <row r="32" ht="18.75" customHeight="1">
      <c r="A32" s="58"/>
      <c r="H32" s="59"/>
    </row>
    <row r="33" ht="18.75" customHeight="1">
      <c r="A33" s="58"/>
      <c r="H33" s="59"/>
    </row>
    <row r="34" ht="18.75" customHeight="1">
      <c r="A34" s="60"/>
      <c r="B34" s="61"/>
      <c r="C34" s="61"/>
      <c r="D34" s="61"/>
      <c r="E34" s="61"/>
      <c r="F34" s="61"/>
      <c r="G34" s="61"/>
      <c r="H34" s="62"/>
    </row>
    <row r="35" ht="18.75" customHeight="1">
      <c r="A35" s="63" t="s">
        <v>177</v>
      </c>
      <c r="B35" s="56"/>
      <c r="C35" s="56"/>
      <c r="D35" s="56"/>
      <c r="E35" s="56"/>
      <c r="F35" s="56"/>
      <c r="G35" s="56"/>
      <c r="H35" s="57"/>
    </row>
    <row r="36" ht="18.75" customHeight="1">
      <c r="A36" s="58"/>
      <c r="H36" s="59"/>
    </row>
    <row r="37" ht="18.75" customHeight="1">
      <c r="A37" s="58"/>
      <c r="H37" s="59"/>
    </row>
    <row r="38" ht="18.75" customHeight="1">
      <c r="A38" s="60"/>
      <c r="B38" s="61"/>
      <c r="C38" s="61"/>
      <c r="D38" s="61"/>
      <c r="E38" s="61"/>
      <c r="F38" s="61"/>
      <c r="G38" s="61"/>
      <c r="H38" s="62"/>
    </row>
    <row r="39" ht="18.75" customHeight="1"/>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mergeCells count="17">
    <mergeCell ref="B10:B11"/>
    <mergeCell ref="C10:C11"/>
    <mergeCell ref="A12:A20"/>
    <mergeCell ref="B12:B20"/>
    <mergeCell ref="A22:H34"/>
    <mergeCell ref="A35:H38"/>
    <mergeCell ref="D10:D11"/>
    <mergeCell ref="E10:E11"/>
    <mergeCell ref="F10:G10"/>
    <mergeCell ref="H10:H11"/>
    <mergeCell ref="A2:C2"/>
    <mergeCell ref="E2:H2"/>
    <mergeCell ref="A3:C3"/>
    <mergeCell ref="E3:H3"/>
    <mergeCell ref="E4:H4"/>
    <mergeCell ref="A5:H5"/>
    <mergeCell ref="A10:A11"/>
  </mergeCells>
  <hyperlinks>
    <hyperlink display="Ấn để trở về sheet &quot; Danh mục&quot;" location="'DANH MỤC'!A1" ref="I5"/>
  </hyperlinks>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5.0"/>
    <col customWidth="1" min="2" max="2" width="14.0"/>
    <col customWidth="1" min="3" max="3" width="47.0"/>
    <col customWidth="1" min="4" max="4" width="21.0"/>
    <col customWidth="1" min="5" max="5" width="35.0"/>
    <col customWidth="1" min="6" max="7" width="9.0"/>
    <col customWidth="1" min="8" max="8" width="21.0"/>
    <col customWidth="1" min="9" max="9" width="42.0"/>
    <col customWidth="1" min="10" max="26" width="14.0"/>
  </cols>
  <sheetData>
    <row r="1" ht="21.0" customHeight="1">
      <c r="A1" s="19"/>
      <c r="B1" s="19"/>
      <c r="C1" s="20"/>
      <c r="D1" s="21"/>
      <c r="E1" s="21"/>
      <c r="F1" s="22"/>
      <c r="G1" s="21"/>
      <c r="H1" s="22"/>
    </row>
    <row r="2" ht="18.75" customHeight="1">
      <c r="A2" s="69" t="s">
        <v>111</v>
      </c>
      <c r="D2" s="70"/>
      <c r="E2" s="26" t="s">
        <v>112</v>
      </c>
    </row>
    <row r="3" ht="21.0" customHeight="1">
      <c r="A3" s="1"/>
      <c r="D3" s="70"/>
      <c r="E3" s="1" t="s">
        <v>113</v>
      </c>
    </row>
    <row r="4" ht="21.0" customHeight="1">
      <c r="A4" s="70"/>
      <c r="B4" s="70"/>
      <c r="C4" s="70"/>
      <c r="D4" s="70"/>
      <c r="E4" s="26" t="s">
        <v>114</v>
      </c>
    </row>
    <row r="5" ht="21.75" customHeight="1">
      <c r="A5" s="27" t="s">
        <v>115</v>
      </c>
      <c r="I5" s="28" t="s">
        <v>116</v>
      </c>
    </row>
    <row r="6" ht="21.75" customHeight="1">
      <c r="A6" s="29" t="s">
        <v>117</v>
      </c>
      <c r="B6" s="30"/>
      <c r="C6" s="31" t="str">
        <f>+'DANH MỤC'!A2</f>
        <v>Công trình:</v>
      </c>
      <c r="D6" s="32"/>
      <c r="E6" s="32"/>
      <c r="F6" s="32"/>
      <c r="G6" s="32"/>
      <c r="H6" s="32"/>
    </row>
    <row r="7" ht="21.75" customHeight="1">
      <c r="A7" s="29"/>
      <c r="B7" s="32"/>
      <c r="C7" s="33" t="str">
        <f>+'DANH MỤC'!A3</f>
        <v>Địa điểm:</v>
      </c>
      <c r="D7" s="32"/>
      <c r="E7" s="32"/>
      <c r="F7" s="32"/>
      <c r="G7" s="32"/>
      <c r="H7" s="32"/>
    </row>
    <row r="8" ht="21.75" customHeight="1">
      <c r="A8" s="29"/>
      <c r="B8" s="32"/>
      <c r="C8" s="33" t="str">
        <f>"Công tác"&amp;": "&amp;'DANH MỤC'!B27</f>
        <v>Công tác: Đổ bê tông móng</v>
      </c>
      <c r="D8" s="32"/>
      <c r="E8" s="32"/>
      <c r="F8" s="32"/>
      <c r="G8" s="32"/>
      <c r="H8" s="32"/>
    </row>
    <row r="9" ht="21.75" customHeight="1">
      <c r="A9" s="34"/>
      <c r="B9" s="35"/>
      <c r="C9" s="36"/>
      <c r="D9" s="35"/>
      <c r="E9" s="35"/>
      <c r="F9" s="35"/>
      <c r="G9" s="35"/>
    </row>
    <row r="10" ht="21.75" customHeight="1">
      <c r="A10" s="37" t="s">
        <v>3</v>
      </c>
      <c r="B10" s="37" t="s">
        <v>118</v>
      </c>
      <c r="C10" s="38" t="s">
        <v>119</v>
      </c>
      <c r="D10" s="38" t="s">
        <v>120</v>
      </c>
      <c r="E10" s="38" t="s">
        <v>121</v>
      </c>
      <c r="F10" s="39" t="s">
        <v>122</v>
      </c>
      <c r="G10" s="40"/>
      <c r="H10" s="38" t="s">
        <v>123</v>
      </c>
    </row>
    <row r="11" ht="21.75" customHeight="1">
      <c r="A11" s="41"/>
      <c r="B11" s="41"/>
      <c r="C11" s="41"/>
      <c r="D11" s="41"/>
      <c r="E11" s="41"/>
      <c r="F11" s="42" t="s">
        <v>124</v>
      </c>
      <c r="G11" s="42" t="s">
        <v>125</v>
      </c>
      <c r="H11" s="41"/>
    </row>
    <row r="12" ht="99.0" customHeight="1">
      <c r="A12" s="43">
        <v>1.0</v>
      </c>
      <c r="B12" s="38" t="s">
        <v>397</v>
      </c>
      <c r="C12" s="44" t="s">
        <v>398</v>
      </c>
      <c r="D12" s="102" t="s">
        <v>394</v>
      </c>
      <c r="E12" s="46" t="s">
        <v>373</v>
      </c>
      <c r="F12" s="47"/>
      <c r="G12" s="47"/>
      <c r="H12" s="45" t="s">
        <v>319</v>
      </c>
    </row>
    <row r="13" ht="81.75" customHeight="1">
      <c r="A13" s="48"/>
      <c r="B13" s="48"/>
      <c r="C13" s="44" t="s">
        <v>399</v>
      </c>
      <c r="D13" s="102" t="s">
        <v>400</v>
      </c>
      <c r="E13" s="46" t="s">
        <v>401</v>
      </c>
      <c r="F13" s="47"/>
      <c r="G13" s="47"/>
      <c r="H13" s="45" t="s">
        <v>319</v>
      </c>
    </row>
    <row r="14" ht="81.75" customHeight="1">
      <c r="A14" s="48"/>
      <c r="B14" s="48"/>
      <c r="C14" s="44" t="s">
        <v>402</v>
      </c>
      <c r="D14" s="45" t="s">
        <v>132</v>
      </c>
      <c r="E14" s="45" t="s">
        <v>403</v>
      </c>
      <c r="F14" s="47"/>
      <c r="G14" s="47"/>
      <c r="H14" s="45" t="s">
        <v>319</v>
      </c>
    </row>
    <row r="15" ht="81.75" customHeight="1">
      <c r="A15" s="48"/>
      <c r="B15" s="48"/>
      <c r="C15" s="44" t="s">
        <v>404</v>
      </c>
      <c r="D15" s="102" t="s">
        <v>400</v>
      </c>
      <c r="E15" s="46" t="s">
        <v>405</v>
      </c>
      <c r="F15" s="47"/>
      <c r="G15" s="47"/>
      <c r="H15" s="45" t="s">
        <v>174</v>
      </c>
    </row>
    <row r="16" ht="58.5" customHeight="1">
      <c r="A16" s="48"/>
      <c r="B16" s="48"/>
      <c r="C16" s="44" t="s">
        <v>406</v>
      </c>
      <c r="D16" s="102" t="s">
        <v>400</v>
      </c>
      <c r="E16" s="45" t="s">
        <v>373</v>
      </c>
      <c r="F16" s="47"/>
      <c r="G16" s="47"/>
      <c r="H16" s="45" t="s">
        <v>319</v>
      </c>
    </row>
    <row r="17" ht="70.5" customHeight="1">
      <c r="A17" s="48"/>
      <c r="B17" s="48"/>
      <c r="C17" s="44" t="s">
        <v>407</v>
      </c>
      <c r="D17" s="102" t="s">
        <v>400</v>
      </c>
      <c r="E17" s="45" t="s">
        <v>373</v>
      </c>
      <c r="F17" s="47"/>
      <c r="G17" s="47"/>
      <c r="H17" s="45" t="s">
        <v>319</v>
      </c>
    </row>
    <row r="18" ht="84.0" customHeight="1">
      <c r="A18" s="48"/>
      <c r="B18" s="48"/>
      <c r="C18" s="44" t="s">
        <v>408</v>
      </c>
      <c r="D18" s="102" t="s">
        <v>400</v>
      </c>
      <c r="E18" s="45" t="s">
        <v>373</v>
      </c>
      <c r="F18" s="47"/>
      <c r="G18" s="47"/>
      <c r="H18" s="45" t="s">
        <v>319</v>
      </c>
    </row>
    <row r="19" ht="220.5" customHeight="1">
      <c r="A19" s="48"/>
      <c r="B19" s="48"/>
      <c r="C19" s="44" t="s">
        <v>409</v>
      </c>
      <c r="D19" s="45" t="s">
        <v>400</v>
      </c>
      <c r="E19" s="105" t="s">
        <v>410</v>
      </c>
      <c r="F19" s="47"/>
      <c r="G19" s="47"/>
      <c r="H19" s="45" t="s">
        <v>319</v>
      </c>
    </row>
    <row r="20" ht="126.75" customHeight="1">
      <c r="A20" s="41"/>
      <c r="B20" s="41"/>
      <c r="C20" s="44" t="s">
        <v>411</v>
      </c>
      <c r="D20" s="102" t="s">
        <v>394</v>
      </c>
      <c r="E20" s="103" t="s">
        <v>412</v>
      </c>
      <c r="F20" s="104"/>
      <c r="G20" s="47"/>
      <c r="H20" s="45" t="s">
        <v>319</v>
      </c>
    </row>
    <row r="21" ht="21.0" customHeight="1">
      <c r="A21" s="52"/>
      <c r="B21" s="52" t="s">
        <v>175</v>
      </c>
      <c r="C21" s="53"/>
      <c r="D21" s="52"/>
      <c r="E21" s="52"/>
      <c r="F21" s="54"/>
      <c r="G21" s="52"/>
      <c r="H21" s="54"/>
    </row>
    <row r="22" ht="21.0" customHeight="1">
      <c r="A22" s="55" t="s">
        <v>176</v>
      </c>
      <c r="B22" s="56"/>
      <c r="C22" s="56"/>
      <c r="D22" s="56"/>
      <c r="E22" s="56"/>
      <c r="F22" s="56"/>
      <c r="G22" s="56"/>
      <c r="H22" s="57"/>
    </row>
    <row r="23" ht="18.75" customHeight="1">
      <c r="A23" s="58"/>
      <c r="H23" s="59"/>
    </row>
    <row r="24" ht="18.75" customHeight="1">
      <c r="A24" s="58"/>
      <c r="H24" s="59"/>
    </row>
    <row r="25" ht="18.75" customHeight="1">
      <c r="A25" s="58"/>
      <c r="H25" s="59"/>
    </row>
    <row r="26" ht="18.75" customHeight="1">
      <c r="A26" s="58"/>
      <c r="H26" s="59"/>
    </row>
    <row r="27" ht="18.75" customHeight="1">
      <c r="A27" s="58"/>
      <c r="H27" s="59"/>
    </row>
    <row r="28" ht="18.75" customHeight="1">
      <c r="A28" s="58"/>
      <c r="H28" s="59"/>
    </row>
    <row r="29" ht="18.75" customHeight="1">
      <c r="A29" s="58"/>
      <c r="H29" s="59"/>
    </row>
    <row r="30" ht="18.75" customHeight="1">
      <c r="A30" s="58"/>
      <c r="H30" s="59"/>
    </row>
    <row r="31" ht="18.75" customHeight="1">
      <c r="A31" s="58"/>
      <c r="H31" s="59"/>
    </row>
    <row r="32" ht="18.75" customHeight="1">
      <c r="A32" s="58"/>
      <c r="H32" s="59"/>
    </row>
    <row r="33" ht="18.75" customHeight="1">
      <c r="A33" s="58"/>
      <c r="H33" s="59"/>
    </row>
    <row r="34" ht="18.75" customHeight="1">
      <c r="A34" s="60"/>
      <c r="B34" s="61"/>
      <c r="C34" s="61"/>
      <c r="D34" s="61"/>
      <c r="E34" s="61"/>
      <c r="F34" s="61"/>
      <c r="G34" s="61"/>
      <c r="H34" s="62"/>
    </row>
    <row r="35" ht="18.75" customHeight="1">
      <c r="A35" s="63" t="s">
        <v>177</v>
      </c>
      <c r="B35" s="56"/>
      <c r="C35" s="56"/>
      <c r="D35" s="56"/>
      <c r="E35" s="56"/>
      <c r="F35" s="56"/>
      <c r="G35" s="56"/>
      <c r="H35" s="57"/>
    </row>
    <row r="36" ht="18.75" customHeight="1">
      <c r="A36" s="58"/>
      <c r="H36" s="59"/>
    </row>
    <row r="37" ht="18.75" customHeight="1">
      <c r="A37" s="58"/>
      <c r="H37" s="59"/>
    </row>
    <row r="38" ht="18.75" customHeight="1">
      <c r="A38" s="60"/>
      <c r="B38" s="61"/>
      <c r="C38" s="61"/>
      <c r="D38" s="61"/>
      <c r="E38" s="61"/>
      <c r="F38" s="61"/>
      <c r="G38" s="61"/>
      <c r="H38" s="62"/>
    </row>
    <row r="39" ht="18.75" customHeight="1"/>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mergeCells count="17">
    <mergeCell ref="B10:B11"/>
    <mergeCell ref="C10:C11"/>
    <mergeCell ref="A12:A20"/>
    <mergeCell ref="B12:B20"/>
    <mergeCell ref="A22:H34"/>
    <mergeCell ref="A35:H38"/>
    <mergeCell ref="D10:D11"/>
    <mergeCell ref="E10:E11"/>
    <mergeCell ref="F10:G10"/>
    <mergeCell ref="H10:H11"/>
    <mergeCell ref="A2:C2"/>
    <mergeCell ref="E2:H2"/>
    <mergeCell ref="A3:C3"/>
    <mergeCell ref="E3:H3"/>
    <mergeCell ref="E4:H4"/>
    <mergeCell ref="A5:H5"/>
    <mergeCell ref="A10:A11"/>
  </mergeCells>
  <hyperlinks>
    <hyperlink display="Ấn để trở về sheet &quot; Danh mục&quot;" location="'DANH MỤC'!A1" ref="I5"/>
  </hyperlinks>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5.0"/>
    <col customWidth="1" min="2" max="2" width="14.0"/>
    <col customWidth="1" min="3" max="3" width="47.0"/>
    <col customWidth="1" min="4" max="4" width="21.0"/>
    <col customWidth="1" min="5" max="5" width="26.0"/>
    <col customWidth="1" min="6" max="7" width="9.0"/>
    <col customWidth="1" min="8" max="8" width="21.0"/>
    <col customWidth="1" min="9" max="9" width="43.0"/>
    <col customWidth="1" min="10" max="26" width="14.0"/>
  </cols>
  <sheetData>
    <row r="1" ht="21.0" customHeight="1">
      <c r="A1" s="19"/>
      <c r="B1" s="19"/>
      <c r="C1" s="20"/>
      <c r="D1" s="21"/>
      <c r="E1" s="21"/>
      <c r="F1" s="22"/>
      <c r="G1" s="21"/>
      <c r="H1" s="22"/>
    </row>
    <row r="2" ht="18.75" customHeight="1">
      <c r="A2" s="69" t="s">
        <v>111</v>
      </c>
      <c r="D2" s="70"/>
      <c r="E2" s="26" t="s">
        <v>112</v>
      </c>
    </row>
    <row r="3" ht="21.0" customHeight="1">
      <c r="A3" s="1"/>
      <c r="D3" s="70"/>
      <c r="E3" s="1" t="s">
        <v>113</v>
      </c>
    </row>
    <row r="4" ht="21.0" customHeight="1">
      <c r="A4" s="70"/>
      <c r="B4" s="70"/>
      <c r="C4" s="70"/>
      <c r="D4" s="70"/>
      <c r="E4" s="26" t="s">
        <v>114</v>
      </c>
    </row>
    <row r="5" ht="21.75" customHeight="1">
      <c r="A5" s="27" t="s">
        <v>115</v>
      </c>
      <c r="I5" s="28" t="s">
        <v>116</v>
      </c>
    </row>
    <row r="6" ht="21.75" customHeight="1">
      <c r="A6" s="29" t="s">
        <v>117</v>
      </c>
      <c r="B6" s="30"/>
      <c r="C6" s="31" t="str">
        <f>+'DANH MỤC'!A2</f>
        <v>Công trình:</v>
      </c>
      <c r="D6" s="32"/>
      <c r="E6" s="32"/>
      <c r="F6" s="32"/>
      <c r="G6" s="32"/>
      <c r="H6" s="32"/>
    </row>
    <row r="7" ht="21.75" customHeight="1">
      <c r="A7" s="29"/>
      <c r="B7" s="32"/>
      <c r="C7" s="33" t="str">
        <f>+'DANH MỤC'!A3</f>
        <v>Địa điểm:</v>
      </c>
      <c r="D7" s="32"/>
      <c r="E7" s="32"/>
      <c r="F7" s="32"/>
      <c r="G7" s="32"/>
      <c r="H7" s="32"/>
    </row>
    <row r="8" ht="21.75" customHeight="1">
      <c r="A8" s="29"/>
      <c r="B8" s="32"/>
      <c r="C8" s="33" t="str">
        <f>"Công tác"&amp;": "&amp;'DANH MỤC'!B28</f>
        <v>Công tác: Lấp đất móng</v>
      </c>
      <c r="D8" s="32"/>
      <c r="E8" s="32"/>
      <c r="F8" s="32"/>
      <c r="G8" s="32"/>
      <c r="H8" s="32"/>
    </row>
    <row r="9" ht="21.75" customHeight="1">
      <c r="A9" s="34"/>
      <c r="B9" s="35"/>
      <c r="C9" s="36"/>
      <c r="D9" s="35"/>
      <c r="E9" s="35"/>
      <c r="F9" s="35"/>
      <c r="G9" s="35"/>
    </row>
    <row r="10" ht="21.75" customHeight="1">
      <c r="A10" s="37" t="s">
        <v>3</v>
      </c>
      <c r="B10" s="37" t="s">
        <v>118</v>
      </c>
      <c r="C10" s="38" t="s">
        <v>119</v>
      </c>
      <c r="D10" s="38" t="s">
        <v>120</v>
      </c>
      <c r="E10" s="38" t="s">
        <v>121</v>
      </c>
      <c r="F10" s="39" t="s">
        <v>122</v>
      </c>
      <c r="G10" s="40"/>
      <c r="H10" s="38" t="s">
        <v>123</v>
      </c>
    </row>
    <row r="11" ht="21.75" customHeight="1">
      <c r="A11" s="41"/>
      <c r="B11" s="41"/>
      <c r="C11" s="41"/>
      <c r="D11" s="41"/>
      <c r="E11" s="41"/>
      <c r="F11" s="42" t="s">
        <v>124</v>
      </c>
      <c r="G11" s="42" t="s">
        <v>125</v>
      </c>
      <c r="H11" s="41"/>
    </row>
    <row r="12" ht="117.0" customHeight="1">
      <c r="A12" s="43">
        <v>1.0</v>
      </c>
      <c r="B12" s="38" t="s">
        <v>413</v>
      </c>
      <c r="C12" s="44" t="s">
        <v>414</v>
      </c>
      <c r="D12" s="46" t="s">
        <v>394</v>
      </c>
      <c r="E12" s="103" t="s">
        <v>415</v>
      </c>
      <c r="F12" s="47"/>
      <c r="G12" s="47"/>
      <c r="H12" s="46" t="s">
        <v>416</v>
      </c>
    </row>
    <row r="13" ht="105.75" customHeight="1">
      <c r="A13" s="48"/>
      <c r="B13" s="48"/>
      <c r="C13" s="44" t="s">
        <v>417</v>
      </c>
      <c r="D13" s="44" t="s">
        <v>400</v>
      </c>
      <c r="E13" s="46" t="s">
        <v>418</v>
      </c>
      <c r="F13" s="47"/>
      <c r="G13" s="47"/>
      <c r="H13" s="45" t="s">
        <v>349</v>
      </c>
    </row>
    <row r="14" ht="81.75" customHeight="1">
      <c r="A14" s="48"/>
      <c r="B14" s="48"/>
      <c r="C14" s="44" t="s">
        <v>419</v>
      </c>
      <c r="D14" s="45" t="s">
        <v>229</v>
      </c>
      <c r="E14" s="45" t="s">
        <v>420</v>
      </c>
      <c r="F14" s="47"/>
      <c r="G14" s="47"/>
      <c r="H14" s="45"/>
    </row>
    <row r="15" ht="81.75" customHeight="1">
      <c r="A15" s="48"/>
      <c r="B15" s="48"/>
      <c r="C15" s="44" t="s">
        <v>421</v>
      </c>
      <c r="D15" s="102" t="s">
        <v>400</v>
      </c>
      <c r="E15" s="46" t="s">
        <v>422</v>
      </c>
      <c r="F15" s="47"/>
      <c r="G15" s="47"/>
      <c r="H15" s="45"/>
    </row>
    <row r="16" ht="97.5" customHeight="1">
      <c r="A16" s="48"/>
      <c r="B16" s="48"/>
      <c r="C16" s="44" t="s">
        <v>423</v>
      </c>
      <c r="D16" s="102" t="s">
        <v>424</v>
      </c>
      <c r="E16" s="46" t="s">
        <v>425</v>
      </c>
      <c r="F16" s="47"/>
      <c r="G16" s="47"/>
      <c r="H16" s="45" t="s">
        <v>349</v>
      </c>
    </row>
    <row r="17" ht="178.5" customHeight="1">
      <c r="A17" s="48"/>
      <c r="B17" s="48"/>
      <c r="C17" s="44" t="s">
        <v>426</v>
      </c>
      <c r="D17" s="46" t="s">
        <v>427</v>
      </c>
      <c r="E17" s="102" t="s">
        <v>428</v>
      </c>
      <c r="F17" s="47"/>
      <c r="G17" s="47"/>
      <c r="H17" s="45" t="s">
        <v>429</v>
      </c>
    </row>
    <row r="18" ht="84.0" customHeight="1">
      <c r="A18" s="41"/>
      <c r="B18" s="41"/>
      <c r="C18" s="44" t="s">
        <v>430</v>
      </c>
      <c r="D18" s="102" t="s">
        <v>424</v>
      </c>
      <c r="E18" s="46" t="s">
        <v>431</v>
      </c>
      <c r="F18" s="47"/>
      <c r="G18" s="47"/>
      <c r="H18" s="45"/>
    </row>
    <row r="19" ht="21.0" customHeight="1">
      <c r="A19" s="52"/>
      <c r="B19" s="52" t="s">
        <v>175</v>
      </c>
      <c r="C19" s="53"/>
      <c r="D19" s="52"/>
      <c r="E19" s="52"/>
      <c r="F19" s="54"/>
      <c r="G19" s="52"/>
      <c r="H19" s="54"/>
    </row>
    <row r="20" ht="21.0" customHeight="1">
      <c r="A20" s="55" t="s">
        <v>176</v>
      </c>
      <c r="B20" s="56"/>
      <c r="C20" s="56"/>
      <c r="D20" s="56"/>
      <c r="E20" s="56"/>
      <c r="F20" s="56"/>
      <c r="G20" s="56"/>
      <c r="H20" s="57"/>
    </row>
    <row r="21" ht="18.75" customHeight="1">
      <c r="A21" s="58"/>
      <c r="H21" s="59"/>
    </row>
    <row r="22" ht="18.75" customHeight="1">
      <c r="A22" s="58"/>
      <c r="H22" s="59"/>
    </row>
    <row r="23" ht="18.75" customHeight="1">
      <c r="A23" s="58"/>
      <c r="H23" s="59"/>
    </row>
    <row r="24" ht="18.75" customHeight="1">
      <c r="A24" s="58"/>
      <c r="H24" s="59"/>
    </row>
    <row r="25" ht="18.75" customHeight="1">
      <c r="A25" s="58"/>
      <c r="H25" s="59"/>
    </row>
    <row r="26" ht="18.75" customHeight="1">
      <c r="A26" s="58"/>
      <c r="H26" s="59"/>
    </row>
    <row r="27" ht="18.75" customHeight="1">
      <c r="A27" s="58"/>
      <c r="H27" s="59"/>
    </row>
    <row r="28" ht="18.75" customHeight="1">
      <c r="A28" s="58"/>
      <c r="H28" s="59"/>
    </row>
    <row r="29" ht="18.75" customHeight="1">
      <c r="A29" s="58"/>
      <c r="H29" s="59"/>
    </row>
    <row r="30" ht="18.75" customHeight="1">
      <c r="A30" s="58"/>
      <c r="H30" s="59"/>
    </row>
    <row r="31" ht="18.75" customHeight="1">
      <c r="A31" s="58"/>
      <c r="H31" s="59"/>
    </row>
    <row r="32" ht="18.75" customHeight="1">
      <c r="A32" s="60"/>
      <c r="B32" s="61"/>
      <c r="C32" s="61"/>
      <c r="D32" s="61"/>
      <c r="E32" s="61"/>
      <c r="F32" s="61"/>
      <c r="G32" s="61"/>
      <c r="H32" s="62"/>
    </row>
    <row r="33" ht="18.75" customHeight="1">
      <c r="A33" s="63" t="s">
        <v>177</v>
      </c>
      <c r="B33" s="56"/>
      <c r="C33" s="56"/>
      <c r="D33" s="56"/>
      <c r="E33" s="56"/>
      <c r="F33" s="56"/>
      <c r="G33" s="56"/>
      <c r="H33" s="57"/>
    </row>
    <row r="34" ht="18.75" customHeight="1">
      <c r="A34" s="58"/>
      <c r="H34" s="59"/>
    </row>
    <row r="35" ht="18.75" customHeight="1">
      <c r="A35" s="58"/>
      <c r="H35" s="59"/>
    </row>
    <row r="36" ht="18.75" customHeight="1">
      <c r="A36" s="60"/>
      <c r="B36" s="61"/>
      <c r="C36" s="61"/>
      <c r="D36" s="61"/>
      <c r="E36" s="61"/>
      <c r="F36" s="61"/>
      <c r="G36" s="61"/>
      <c r="H36" s="62"/>
    </row>
    <row r="37" ht="18.75" customHeight="1"/>
    <row r="38" ht="18.75" customHeight="1"/>
    <row r="39" ht="18.75" customHeight="1"/>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mergeCells count="17">
    <mergeCell ref="B10:B11"/>
    <mergeCell ref="C10:C11"/>
    <mergeCell ref="A12:A18"/>
    <mergeCell ref="B12:B18"/>
    <mergeCell ref="A20:H32"/>
    <mergeCell ref="A33:H36"/>
    <mergeCell ref="D10:D11"/>
    <mergeCell ref="E10:E11"/>
    <mergeCell ref="F10:G10"/>
    <mergeCell ref="H10:H11"/>
    <mergeCell ref="A2:C2"/>
    <mergeCell ref="E2:H2"/>
    <mergeCell ref="A3:C3"/>
    <mergeCell ref="E3:H3"/>
    <mergeCell ref="E4:H4"/>
    <mergeCell ref="A5:H5"/>
    <mergeCell ref="A10:A11"/>
  </mergeCells>
  <hyperlinks>
    <hyperlink display="Ấn để trở về sheet &quot; Danh mục&quot;" location="'DANH MỤC'!A1" ref="I5"/>
  </hyperlinks>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5.0"/>
    <col customWidth="1" min="2" max="2" width="14.0"/>
    <col customWidth="1" min="3" max="3" width="47.0"/>
    <col customWidth="1" min="4" max="4" width="23.0"/>
    <col customWidth="1" min="5" max="5" width="25.0"/>
    <col customWidth="1" min="6" max="7" width="9.0"/>
    <col customWidth="1" min="8" max="8" width="21.0"/>
    <col customWidth="1" min="9" max="9" width="43.0"/>
    <col customWidth="1" min="10" max="26" width="14.0"/>
  </cols>
  <sheetData>
    <row r="1" ht="21.0" customHeight="1">
      <c r="A1" s="19"/>
      <c r="B1" s="19"/>
      <c r="C1" s="20"/>
      <c r="D1" s="21"/>
      <c r="E1" s="21"/>
      <c r="F1" s="22"/>
      <c r="G1" s="21"/>
      <c r="H1" s="22"/>
    </row>
    <row r="2" ht="18.75" customHeight="1">
      <c r="A2" s="69" t="s">
        <v>111</v>
      </c>
      <c r="D2" s="70"/>
      <c r="E2" s="26" t="s">
        <v>112</v>
      </c>
    </row>
    <row r="3" ht="21.0" customHeight="1">
      <c r="A3" s="1"/>
      <c r="D3" s="70"/>
      <c r="E3" s="1" t="s">
        <v>113</v>
      </c>
    </row>
    <row r="4" ht="21.0" customHeight="1">
      <c r="A4" s="70"/>
      <c r="B4" s="70"/>
      <c r="C4" s="70"/>
      <c r="D4" s="70"/>
      <c r="E4" s="26" t="s">
        <v>114</v>
      </c>
    </row>
    <row r="5" ht="21.75" customHeight="1">
      <c r="A5" s="27" t="s">
        <v>115</v>
      </c>
      <c r="I5" s="28" t="s">
        <v>116</v>
      </c>
    </row>
    <row r="6" ht="21.75" customHeight="1">
      <c r="A6" s="29" t="s">
        <v>117</v>
      </c>
      <c r="B6" s="30"/>
      <c r="C6" s="31" t="str">
        <f>+'DANH MỤC'!A2</f>
        <v>Công trình:</v>
      </c>
      <c r="D6" s="32"/>
      <c r="E6" s="32"/>
      <c r="F6" s="32"/>
      <c r="G6" s="32"/>
      <c r="H6" s="32"/>
    </row>
    <row r="7" ht="21.75" customHeight="1">
      <c r="A7" s="29"/>
      <c r="B7" s="32"/>
      <c r="C7" s="33" t="str">
        <f>+'DANH MỤC'!A3</f>
        <v>Địa điểm:</v>
      </c>
      <c r="D7" s="32"/>
      <c r="E7" s="32"/>
      <c r="F7" s="32"/>
      <c r="G7" s="32"/>
      <c r="H7" s="32"/>
    </row>
    <row r="8" ht="21.75" customHeight="1">
      <c r="A8" s="29"/>
      <c r="B8" s="32"/>
      <c r="C8" s="33" t="str">
        <f>"Công tác"&amp;": "&amp;'DANH MỤC'!B30</f>
        <v>Công tác: Gia công lắp dựng cốt thép cột, vách</v>
      </c>
      <c r="D8" s="32"/>
      <c r="E8" s="32"/>
      <c r="F8" s="32"/>
      <c r="G8" s="32"/>
      <c r="H8" s="32"/>
    </row>
    <row r="9" ht="21.75" customHeight="1">
      <c r="A9" s="34"/>
      <c r="B9" s="35"/>
      <c r="C9" s="36"/>
      <c r="D9" s="35"/>
      <c r="E9" s="35"/>
      <c r="F9" s="35"/>
      <c r="G9" s="35"/>
    </row>
    <row r="10" ht="21.75" customHeight="1">
      <c r="A10" s="37" t="s">
        <v>3</v>
      </c>
      <c r="B10" s="37" t="s">
        <v>118</v>
      </c>
      <c r="C10" s="38" t="s">
        <v>119</v>
      </c>
      <c r="D10" s="38" t="s">
        <v>120</v>
      </c>
      <c r="E10" s="38" t="s">
        <v>121</v>
      </c>
      <c r="F10" s="39" t="s">
        <v>122</v>
      </c>
      <c r="G10" s="40"/>
      <c r="H10" s="38" t="s">
        <v>123</v>
      </c>
    </row>
    <row r="11" ht="21.75" customHeight="1">
      <c r="A11" s="41"/>
      <c r="B11" s="41"/>
      <c r="C11" s="41"/>
      <c r="D11" s="41"/>
      <c r="E11" s="41"/>
      <c r="F11" s="42" t="s">
        <v>124</v>
      </c>
      <c r="G11" s="42" t="s">
        <v>125</v>
      </c>
      <c r="H11" s="41"/>
    </row>
    <row r="12" ht="90.75" customHeight="1">
      <c r="A12" s="43">
        <v>1.0</v>
      </c>
      <c r="B12" s="38" t="s">
        <v>432</v>
      </c>
      <c r="C12" s="44" t="s">
        <v>433</v>
      </c>
      <c r="D12" s="46" t="s">
        <v>394</v>
      </c>
      <c r="E12" s="46" t="s">
        <v>434</v>
      </c>
      <c r="F12" s="47"/>
      <c r="G12" s="47"/>
      <c r="H12" s="46"/>
    </row>
    <row r="13" ht="81.0" customHeight="1">
      <c r="A13" s="48"/>
      <c r="B13" s="48"/>
      <c r="C13" s="44" t="s">
        <v>435</v>
      </c>
      <c r="D13" s="44" t="s">
        <v>400</v>
      </c>
      <c r="E13" s="46" t="s">
        <v>436</v>
      </c>
      <c r="F13" s="47"/>
      <c r="G13" s="47"/>
      <c r="H13" s="45"/>
    </row>
    <row r="14" ht="81.75" customHeight="1">
      <c r="A14" s="48"/>
      <c r="B14" s="48"/>
      <c r="C14" s="44" t="s">
        <v>437</v>
      </c>
      <c r="D14" s="46" t="s">
        <v>361</v>
      </c>
      <c r="E14" s="46" t="s">
        <v>133</v>
      </c>
      <c r="F14" s="47"/>
      <c r="G14" s="47"/>
      <c r="H14" s="45" t="s">
        <v>319</v>
      </c>
    </row>
    <row r="15" ht="81.75" customHeight="1">
      <c r="A15" s="48"/>
      <c r="B15" s="48"/>
      <c r="C15" s="44" t="s">
        <v>438</v>
      </c>
      <c r="D15" s="46" t="s">
        <v>361</v>
      </c>
      <c r="E15" s="45" t="s">
        <v>364</v>
      </c>
      <c r="F15" s="47"/>
      <c r="G15" s="47"/>
      <c r="H15" s="45" t="s">
        <v>319</v>
      </c>
    </row>
    <row r="16" ht="162.75" customHeight="1">
      <c r="A16" s="48"/>
      <c r="B16" s="48"/>
      <c r="C16" s="44" t="s">
        <v>439</v>
      </c>
      <c r="D16" s="46" t="s">
        <v>440</v>
      </c>
      <c r="E16" s="103" t="s">
        <v>441</v>
      </c>
      <c r="F16" s="47"/>
      <c r="G16" s="47"/>
      <c r="H16" s="45" t="s">
        <v>319</v>
      </c>
    </row>
    <row r="17" ht="54.75" customHeight="1">
      <c r="A17" s="48"/>
      <c r="B17" s="48"/>
      <c r="C17" s="44" t="s">
        <v>442</v>
      </c>
      <c r="D17" s="46" t="s">
        <v>443</v>
      </c>
      <c r="E17" s="46" t="s">
        <v>133</v>
      </c>
      <c r="F17" s="47"/>
      <c r="G17" s="47"/>
      <c r="H17" s="45" t="s">
        <v>319</v>
      </c>
    </row>
    <row r="18" ht="78.0" customHeight="1">
      <c r="A18" s="48"/>
      <c r="B18" s="48"/>
      <c r="C18" s="44" t="s">
        <v>141</v>
      </c>
      <c r="D18" s="46" t="s">
        <v>444</v>
      </c>
      <c r="E18" s="46" t="s">
        <v>133</v>
      </c>
      <c r="F18" s="47"/>
      <c r="G18" s="47"/>
      <c r="H18" s="45" t="s">
        <v>319</v>
      </c>
    </row>
    <row r="19" ht="67.5" customHeight="1">
      <c r="A19" s="41"/>
      <c r="B19" s="41"/>
      <c r="C19" s="44" t="s">
        <v>445</v>
      </c>
      <c r="D19" s="102" t="s">
        <v>446</v>
      </c>
      <c r="E19" s="46" t="s">
        <v>447</v>
      </c>
      <c r="F19" s="47"/>
      <c r="G19" s="47"/>
      <c r="H19" s="45"/>
    </row>
    <row r="20" ht="21.0" customHeight="1">
      <c r="A20" s="52"/>
      <c r="B20" s="52" t="s">
        <v>175</v>
      </c>
      <c r="C20" s="53"/>
      <c r="D20" s="52"/>
      <c r="E20" s="52"/>
      <c r="F20" s="54"/>
      <c r="G20" s="52"/>
      <c r="H20" s="54"/>
    </row>
    <row r="21" ht="21.0" customHeight="1">
      <c r="A21" s="55" t="s">
        <v>176</v>
      </c>
      <c r="B21" s="56"/>
      <c r="C21" s="56"/>
      <c r="D21" s="56"/>
      <c r="E21" s="56"/>
      <c r="F21" s="56"/>
      <c r="G21" s="56"/>
      <c r="H21" s="57"/>
    </row>
    <row r="22" ht="18.75" customHeight="1">
      <c r="A22" s="58"/>
      <c r="H22" s="59"/>
    </row>
    <row r="23" ht="18.75" customHeight="1">
      <c r="A23" s="58"/>
      <c r="H23" s="59"/>
    </row>
    <row r="24" ht="18.75" customHeight="1">
      <c r="A24" s="58"/>
      <c r="H24" s="59"/>
    </row>
    <row r="25" ht="18.75" customHeight="1">
      <c r="A25" s="58"/>
      <c r="H25" s="59"/>
    </row>
    <row r="26" ht="18.75" customHeight="1">
      <c r="A26" s="58"/>
      <c r="H26" s="59"/>
    </row>
    <row r="27" ht="18.75" customHeight="1">
      <c r="A27" s="58"/>
      <c r="H27" s="59"/>
    </row>
    <row r="28" ht="18.75" customHeight="1">
      <c r="A28" s="58"/>
      <c r="H28" s="59"/>
    </row>
    <row r="29" ht="18.75" customHeight="1">
      <c r="A29" s="58"/>
      <c r="H29" s="59"/>
    </row>
    <row r="30" ht="18.75" customHeight="1">
      <c r="A30" s="58"/>
      <c r="H30" s="59"/>
    </row>
    <row r="31" ht="18.75" customHeight="1">
      <c r="A31" s="58"/>
      <c r="H31" s="59"/>
    </row>
    <row r="32" ht="18.75" customHeight="1">
      <c r="A32" s="58"/>
      <c r="H32" s="59"/>
    </row>
    <row r="33" ht="18.75" customHeight="1">
      <c r="A33" s="60"/>
      <c r="B33" s="61"/>
      <c r="C33" s="61"/>
      <c r="D33" s="61"/>
      <c r="E33" s="61"/>
      <c r="F33" s="61"/>
      <c r="G33" s="61"/>
      <c r="H33" s="62"/>
    </row>
    <row r="34" ht="18.75" customHeight="1">
      <c r="A34" s="63" t="s">
        <v>177</v>
      </c>
      <c r="B34" s="56"/>
      <c r="C34" s="56"/>
      <c r="D34" s="56"/>
      <c r="E34" s="56"/>
      <c r="F34" s="56"/>
      <c r="G34" s="56"/>
      <c r="H34" s="57"/>
    </row>
    <row r="35" ht="18.75" customHeight="1">
      <c r="A35" s="58"/>
      <c r="H35" s="59"/>
    </row>
    <row r="36" ht="18.75" customHeight="1">
      <c r="A36" s="58"/>
      <c r="H36" s="59"/>
    </row>
    <row r="37" ht="18.75" customHeight="1">
      <c r="A37" s="60"/>
      <c r="B37" s="61"/>
      <c r="C37" s="61"/>
      <c r="D37" s="61"/>
      <c r="E37" s="61"/>
      <c r="F37" s="61"/>
      <c r="G37" s="61"/>
      <c r="H37" s="62"/>
    </row>
    <row r="38" ht="18.75" customHeight="1"/>
    <row r="39" ht="18.75" customHeight="1"/>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mergeCells count="17">
    <mergeCell ref="B10:B11"/>
    <mergeCell ref="C10:C11"/>
    <mergeCell ref="A12:A19"/>
    <mergeCell ref="B12:B19"/>
    <mergeCell ref="A21:H33"/>
    <mergeCell ref="A34:H37"/>
    <mergeCell ref="D10:D11"/>
    <mergeCell ref="E10:E11"/>
    <mergeCell ref="F10:G10"/>
    <mergeCell ref="H10:H11"/>
    <mergeCell ref="A2:C2"/>
    <mergeCell ref="E2:H2"/>
    <mergeCell ref="A3:C3"/>
    <mergeCell ref="E3:H3"/>
    <mergeCell ref="E4:H4"/>
    <mergeCell ref="A5:H5"/>
    <mergeCell ref="A10:A11"/>
  </mergeCells>
  <hyperlinks>
    <hyperlink display="Ấn để trở về sheet &quot; Danh mục&quot;" location="'DANH MỤC'!A1" ref="I5"/>
  </hyperlinks>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5.0"/>
    <col customWidth="1" min="2" max="2" width="14.0"/>
    <col customWidth="1" min="3" max="3" width="47.0"/>
    <col customWidth="1" min="4" max="4" width="23.0"/>
    <col customWidth="1" min="5" max="5" width="25.0"/>
    <col customWidth="1" min="6" max="7" width="9.0"/>
    <col customWidth="1" min="8" max="8" width="21.0"/>
    <col customWidth="1" min="9" max="9" width="41.0"/>
    <col customWidth="1" min="10" max="26" width="14.0"/>
  </cols>
  <sheetData>
    <row r="1" ht="21.0" customHeight="1">
      <c r="A1" s="19"/>
      <c r="B1" s="19"/>
      <c r="C1" s="20"/>
      <c r="D1" s="21"/>
      <c r="E1" s="21"/>
      <c r="F1" s="22"/>
      <c r="G1" s="21"/>
      <c r="H1" s="22"/>
    </row>
    <row r="2" ht="18.75" customHeight="1">
      <c r="A2" s="69" t="s">
        <v>111</v>
      </c>
      <c r="D2" s="70"/>
      <c r="E2" s="26" t="s">
        <v>112</v>
      </c>
    </row>
    <row r="3" ht="21.0" customHeight="1">
      <c r="A3" s="1"/>
      <c r="D3" s="70"/>
      <c r="E3" s="1" t="s">
        <v>113</v>
      </c>
    </row>
    <row r="4" ht="21.0" customHeight="1">
      <c r="A4" s="70"/>
      <c r="B4" s="70"/>
      <c r="C4" s="70"/>
      <c r="D4" s="70"/>
      <c r="E4" s="26" t="s">
        <v>114</v>
      </c>
    </row>
    <row r="5" ht="21.75" customHeight="1">
      <c r="A5" s="27" t="s">
        <v>115</v>
      </c>
      <c r="I5" s="28" t="s">
        <v>116</v>
      </c>
    </row>
    <row r="6" ht="21.75" customHeight="1">
      <c r="A6" s="29" t="s">
        <v>117</v>
      </c>
      <c r="B6" s="30"/>
      <c r="C6" s="31" t="str">
        <f>+'DANH MỤC'!A2</f>
        <v>Công trình:</v>
      </c>
      <c r="D6" s="32"/>
      <c r="E6" s="32"/>
      <c r="F6" s="32"/>
      <c r="G6" s="32"/>
      <c r="H6" s="32"/>
    </row>
    <row r="7" ht="21.75" customHeight="1">
      <c r="A7" s="29"/>
      <c r="B7" s="32"/>
      <c r="C7" s="33" t="str">
        <f>+'DANH MỤC'!A3</f>
        <v>Địa điểm:</v>
      </c>
      <c r="D7" s="32"/>
      <c r="E7" s="32"/>
      <c r="F7" s="32"/>
      <c r="G7" s="32"/>
      <c r="H7" s="32"/>
    </row>
    <row r="8" ht="21.75" customHeight="1">
      <c r="A8" s="29"/>
      <c r="B8" s="32"/>
      <c r="C8" s="33" t="str">
        <f>"Công tác"&amp;": "&amp;'DANH MỤC'!B31</f>
        <v>Công tác: Gia công lắp dựng ván khuôn cột, vách</v>
      </c>
      <c r="D8" s="32"/>
      <c r="E8" s="32"/>
      <c r="F8" s="32"/>
      <c r="G8" s="32"/>
      <c r="H8" s="32"/>
    </row>
    <row r="9" ht="21.75" customHeight="1">
      <c r="A9" s="34"/>
      <c r="B9" s="35"/>
      <c r="C9" s="36"/>
      <c r="D9" s="35"/>
      <c r="E9" s="35"/>
      <c r="F9" s="35"/>
      <c r="G9" s="35"/>
    </row>
    <row r="10" ht="21.75" customHeight="1">
      <c r="A10" s="37" t="s">
        <v>3</v>
      </c>
      <c r="B10" s="37" t="s">
        <v>118</v>
      </c>
      <c r="C10" s="38" t="s">
        <v>119</v>
      </c>
      <c r="D10" s="38" t="s">
        <v>120</v>
      </c>
      <c r="E10" s="38" t="s">
        <v>121</v>
      </c>
      <c r="F10" s="39" t="s">
        <v>122</v>
      </c>
      <c r="G10" s="40"/>
      <c r="H10" s="38" t="s">
        <v>123</v>
      </c>
    </row>
    <row r="11" ht="21.75" customHeight="1">
      <c r="A11" s="41"/>
      <c r="B11" s="41"/>
      <c r="C11" s="41"/>
      <c r="D11" s="41"/>
      <c r="E11" s="41"/>
      <c r="F11" s="42" t="s">
        <v>124</v>
      </c>
      <c r="G11" s="42" t="s">
        <v>125</v>
      </c>
      <c r="H11" s="41"/>
    </row>
    <row r="12" ht="85.5" customHeight="1">
      <c r="A12" s="43">
        <v>1.0</v>
      </c>
      <c r="B12" s="38" t="s">
        <v>448</v>
      </c>
      <c r="C12" s="44" t="s">
        <v>449</v>
      </c>
      <c r="D12" s="46" t="s">
        <v>361</v>
      </c>
      <c r="E12" s="46" t="s">
        <v>377</v>
      </c>
      <c r="F12" s="47"/>
      <c r="G12" s="47"/>
      <c r="H12" s="46"/>
    </row>
    <row r="13" ht="82.5" customHeight="1">
      <c r="A13" s="48"/>
      <c r="B13" s="48"/>
      <c r="C13" s="44" t="s">
        <v>450</v>
      </c>
      <c r="D13" s="46" t="s">
        <v>382</v>
      </c>
      <c r="E13" s="45" t="s">
        <v>451</v>
      </c>
      <c r="F13" s="47"/>
      <c r="G13" s="47"/>
      <c r="H13" s="45" t="s">
        <v>319</v>
      </c>
    </row>
    <row r="14" ht="105.75" customHeight="1">
      <c r="A14" s="48"/>
      <c r="B14" s="48"/>
      <c r="C14" s="44" t="s">
        <v>386</v>
      </c>
      <c r="D14" s="46" t="s">
        <v>229</v>
      </c>
      <c r="E14" s="46" t="s">
        <v>452</v>
      </c>
      <c r="F14" s="47"/>
      <c r="G14" s="47"/>
      <c r="H14" s="45" t="s">
        <v>319</v>
      </c>
    </row>
    <row r="15" ht="100.5" customHeight="1">
      <c r="A15" s="48"/>
      <c r="B15" s="48"/>
      <c r="C15" s="44" t="s">
        <v>453</v>
      </c>
      <c r="D15" s="46" t="s">
        <v>229</v>
      </c>
      <c r="E15" s="46" t="s">
        <v>454</v>
      </c>
      <c r="F15" s="47"/>
      <c r="G15" s="47"/>
      <c r="H15" s="45" t="s">
        <v>319</v>
      </c>
    </row>
    <row r="16" ht="72.75" customHeight="1">
      <c r="A16" s="48"/>
      <c r="B16" s="48"/>
      <c r="C16" s="44" t="s">
        <v>455</v>
      </c>
      <c r="D16" s="46" t="s">
        <v>456</v>
      </c>
      <c r="E16" s="45" t="s">
        <v>451</v>
      </c>
      <c r="F16" s="47"/>
      <c r="G16" s="47"/>
      <c r="H16" s="45" t="s">
        <v>319</v>
      </c>
    </row>
    <row r="17" ht="87.0" customHeight="1">
      <c r="A17" s="48"/>
      <c r="B17" s="48"/>
      <c r="C17" s="44" t="s">
        <v>457</v>
      </c>
      <c r="D17" s="46" t="s">
        <v>385</v>
      </c>
      <c r="E17" s="45" t="s">
        <v>373</v>
      </c>
      <c r="F17" s="47"/>
      <c r="G17" s="47"/>
      <c r="H17" s="45" t="s">
        <v>319</v>
      </c>
    </row>
    <row r="18" ht="82.5" customHeight="1">
      <c r="A18" s="48"/>
      <c r="B18" s="48"/>
      <c r="C18" s="44" t="s">
        <v>458</v>
      </c>
      <c r="D18" s="46" t="s">
        <v>459</v>
      </c>
      <c r="E18" s="45" t="s">
        <v>373</v>
      </c>
      <c r="F18" s="47"/>
      <c r="G18" s="47"/>
      <c r="H18" s="45" t="s">
        <v>319</v>
      </c>
    </row>
    <row r="19" ht="84.0" customHeight="1">
      <c r="A19" s="41"/>
      <c r="B19" s="41"/>
      <c r="C19" s="44" t="s">
        <v>460</v>
      </c>
      <c r="D19" s="102" t="s">
        <v>446</v>
      </c>
      <c r="E19" s="103" t="s">
        <v>395</v>
      </c>
      <c r="F19" s="47"/>
      <c r="G19" s="47"/>
      <c r="H19" s="45"/>
    </row>
    <row r="20" ht="21.0" customHeight="1">
      <c r="A20" s="52"/>
      <c r="B20" s="52" t="s">
        <v>175</v>
      </c>
      <c r="C20" s="53"/>
      <c r="D20" s="52"/>
      <c r="E20" s="52"/>
      <c r="F20" s="54"/>
      <c r="G20" s="52"/>
      <c r="H20" s="54"/>
    </row>
    <row r="21" ht="21.0" customHeight="1">
      <c r="A21" s="55" t="s">
        <v>176</v>
      </c>
      <c r="B21" s="56"/>
      <c r="C21" s="56"/>
      <c r="D21" s="56"/>
      <c r="E21" s="56"/>
      <c r="F21" s="56"/>
      <c r="G21" s="56"/>
      <c r="H21" s="57"/>
    </row>
    <row r="22" ht="18.75" customHeight="1">
      <c r="A22" s="58"/>
      <c r="H22" s="59"/>
    </row>
    <row r="23" ht="18.75" customHeight="1">
      <c r="A23" s="58"/>
      <c r="H23" s="59"/>
    </row>
    <row r="24" ht="18.75" customHeight="1">
      <c r="A24" s="58"/>
      <c r="H24" s="59"/>
    </row>
    <row r="25" ht="18.75" customHeight="1">
      <c r="A25" s="58"/>
      <c r="H25" s="59"/>
    </row>
    <row r="26" ht="18.75" customHeight="1">
      <c r="A26" s="58"/>
      <c r="H26" s="59"/>
    </row>
    <row r="27" ht="18.75" customHeight="1">
      <c r="A27" s="58"/>
      <c r="H27" s="59"/>
    </row>
    <row r="28" ht="18.75" customHeight="1">
      <c r="A28" s="58"/>
      <c r="H28" s="59"/>
    </row>
    <row r="29" ht="18.75" customHeight="1">
      <c r="A29" s="58"/>
      <c r="H29" s="59"/>
    </row>
    <row r="30" ht="18.75" customHeight="1">
      <c r="A30" s="58"/>
      <c r="H30" s="59"/>
    </row>
    <row r="31" ht="18.75" customHeight="1">
      <c r="A31" s="58"/>
      <c r="H31" s="59"/>
    </row>
    <row r="32" ht="18.75" customHeight="1">
      <c r="A32" s="58"/>
      <c r="H32" s="59"/>
    </row>
    <row r="33" ht="18.75" customHeight="1">
      <c r="A33" s="60"/>
      <c r="B33" s="61"/>
      <c r="C33" s="61"/>
      <c r="D33" s="61"/>
      <c r="E33" s="61"/>
      <c r="F33" s="61"/>
      <c r="G33" s="61"/>
      <c r="H33" s="62"/>
    </row>
    <row r="34" ht="18.75" customHeight="1">
      <c r="A34" s="63" t="s">
        <v>177</v>
      </c>
      <c r="B34" s="56"/>
      <c r="C34" s="56"/>
      <c r="D34" s="56"/>
      <c r="E34" s="56"/>
      <c r="F34" s="56"/>
      <c r="G34" s="56"/>
      <c r="H34" s="57"/>
    </row>
    <row r="35" ht="18.75" customHeight="1">
      <c r="A35" s="58"/>
      <c r="H35" s="59"/>
    </row>
    <row r="36" ht="18.75" customHeight="1">
      <c r="A36" s="58"/>
      <c r="H36" s="59"/>
    </row>
    <row r="37" ht="18.75" customHeight="1">
      <c r="A37" s="60"/>
      <c r="B37" s="61"/>
      <c r="C37" s="61"/>
      <c r="D37" s="61"/>
      <c r="E37" s="61"/>
      <c r="F37" s="61"/>
      <c r="G37" s="61"/>
      <c r="H37" s="62"/>
    </row>
    <row r="38" ht="18.75" customHeight="1"/>
    <row r="39" ht="18.75" customHeight="1"/>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mergeCells count="17">
    <mergeCell ref="B10:B11"/>
    <mergeCell ref="C10:C11"/>
    <mergeCell ref="A12:A19"/>
    <mergeCell ref="B12:B19"/>
    <mergeCell ref="A21:H33"/>
    <mergeCell ref="A34:H37"/>
    <mergeCell ref="D10:D11"/>
    <mergeCell ref="E10:E11"/>
    <mergeCell ref="F10:G10"/>
    <mergeCell ref="H10:H11"/>
    <mergeCell ref="A2:C2"/>
    <mergeCell ref="E2:H2"/>
    <mergeCell ref="A3:C3"/>
    <mergeCell ref="E3:H3"/>
    <mergeCell ref="E4:H4"/>
    <mergeCell ref="A5:H5"/>
    <mergeCell ref="A10:A11"/>
  </mergeCells>
  <hyperlinks>
    <hyperlink display="Ấn để trở về sheet &quot; Danh mục&quot;" location="'DANH MỤC'!A1" ref="I5"/>
  </hyperlinks>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5.0"/>
    <col customWidth="1" min="2" max="2" width="14.0"/>
    <col customWidth="1" min="3" max="3" width="45.0"/>
    <col customWidth="1" min="4" max="4" width="23.0"/>
    <col customWidth="1" min="5" max="5" width="35.0"/>
    <col customWidth="1" min="6" max="7" width="9.0"/>
    <col customWidth="1" min="8" max="8" width="21.0"/>
    <col customWidth="1" min="9" max="9" width="43.0"/>
    <col customWidth="1" min="10" max="26" width="14.0"/>
  </cols>
  <sheetData>
    <row r="1" ht="21.0" customHeight="1">
      <c r="A1" s="19"/>
      <c r="B1" s="19"/>
      <c r="C1" s="20"/>
      <c r="D1" s="21"/>
      <c r="E1" s="21"/>
      <c r="F1" s="22"/>
      <c r="G1" s="21"/>
      <c r="H1" s="22"/>
    </row>
    <row r="2" ht="18.75" customHeight="1">
      <c r="A2" s="69" t="s">
        <v>111</v>
      </c>
      <c r="D2" s="70"/>
      <c r="E2" s="26" t="s">
        <v>112</v>
      </c>
    </row>
    <row r="3" ht="21.0" customHeight="1">
      <c r="A3" s="1"/>
      <c r="D3" s="70"/>
      <c r="E3" s="1" t="s">
        <v>113</v>
      </c>
    </row>
    <row r="4" ht="21.0" customHeight="1">
      <c r="A4" s="70"/>
      <c r="B4" s="70"/>
      <c r="C4" s="70"/>
      <c r="D4" s="70"/>
      <c r="E4" s="26" t="s">
        <v>114</v>
      </c>
    </row>
    <row r="5" ht="21.75" customHeight="1">
      <c r="A5" s="27" t="s">
        <v>115</v>
      </c>
      <c r="I5" s="28" t="s">
        <v>116</v>
      </c>
    </row>
    <row r="6" ht="21.75" customHeight="1">
      <c r="A6" s="29" t="s">
        <v>117</v>
      </c>
      <c r="B6" s="30"/>
      <c r="C6" s="31" t="str">
        <f>+'DANH MỤC'!A2</f>
        <v>Công trình:</v>
      </c>
      <c r="D6" s="32"/>
      <c r="E6" s="32"/>
      <c r="F6" s="32"/>
      <c r="G6" s="32"/>
      <c r="H6" s="32"/>
    </row>
    <row r="7" ht="21.75" customHeight="1">
      <c r="A7" s="29"/>
      <c r="B7" s="32"/>
      <c r="C7" s="33" t="str">
        <f>+'DANH MỤC'!A3</f>
        <v>Địa điểm:</v>
      </c>
      <c r="D7" s="32"/>
      <c r="E7" s="32"/>
      <c r="F7" s="32"/>
      <c r="G7" s="32"/>
      <c r="H7" s="32"/>
    </row>
    <row r="8" ht="21.75" customHeight="1">
      <c r="A8" s="29"/>
      <c r="B8" s="32"/>
      <c r="C8" s="33" t="str">
        <f>"Công tác"&amp;": "&amp;'DANH MỤC'!B32</f>
        <v>Công tác: Công tác đổ bê tông cột, vách</v>
      </c>
      <c r="D8" s="32"/>
      <c r="E8" s="32"/>
      <c r="F8" s="32"/>
      <c r="G8" s="32"/>
      <c r="H8" s="32"/>
    </row>
    <row r="9" ht="21.75" customHeight="1">
      <c r="A9" s="34"/>
      <c r="B9" s="35"/>
      <c r="C9" s="36"/>
      <c r="D9" s="35"/>
      <c r="E9" s="35"/>
      <c r="F9" s="35"/>
      <c r="G9" s="35"/>
    </row>
    <row r="10" ht="21.75" customHeight="1">
      <c r="A10" s="37" t="s">
        <v>3</v>
      </c>
      <c r="B10" s="37" t="s">
        <v>118</v>
      </c>
      <c r="C10" s="38" t="s">
        <v>119</v>
      </c>
      <c r="D10" s="38" t="s">
        <v>120</v>
      </c>
      <c r="E10" s="38" t="s">
        <v>121</v>
      </c>
      <c r="F10" s="39" t="s">
        <v>122</v>
      </c>
      <c r="G10" s="40"/>
      <c r="H10" s="38" t="s">
        <v>123</v>
      </c>
    </row>
    <row r="11" ht="21.75" customHeight="1">
      <c r="A11" s="41"/>
      <c r="B11" s="41"/>
      <c r="C11" s="41"/>
      <c r="D11" s="41"/>
      <c r="E11" s="41"/>
      <c r="F11" s="42" t="s">
        <v>124</v>
      </c>
      <c r="G11" s="42" t="s">
        <v>125</v>
      </c>
      <c r="H11" s="41"/>
    </row>
    <row r="12" ht="87.75" customHeight="1">
      <c r="A12" s="43">
        <v>1.0</v>
      </c>
      <c r="B12" s="38" t="s">
        <v>461</v>
      </c>
      <c r="C12" s="44" t="s">
        <v>462</v>
      </c>
      <c r="D12" s="46" t="s">
        <v>229</v>
      </c>
      <c r="E12" s="46" t="s">
        <v>463</v>
      </c>
      <c r="F12" s="47"/>
      <c r="G12" s="47"/>
      <c r="H12" s="46"/>
    </row>
    <row r="13" ht="189.0" customHeight="1">
      <c r="A13" s="48"/>
      <c r="B13" s="48"/>
      <c r="C13" s="44" t="s">
        <v>464</v>
      </c>
      <c r="D13" s="46" t="s">
        <v>229</v>
      </c>
      <c r="E13" s="46" t="s">
        <v>465</v>
      </c>
      <c r="F13" s="47"/>
      <c r="G13" s="47"/>
      <c r="H13" s="45" t="s">
        <v>319</v>
      </c>
    </row>
    <row r="14" ht="105.75" customHeight="1">
      <c r="A14" s="48"/>
      <c r="B14" s="48"/>
      <c r="C14" s="44" t="s">
        <v>466</v>
      </c>
      <c r="D14" s="46" t="s">
        <v>132</v>
      </c>
      <c r="E14" s="46" t="s">
        <v>467</v>
      </c>
      <c r="F14" s="47"/>
      <c r="G14" s="47"/>
      <c r="H14" s="45" t="s">
        <v>319</v>
      </c>
    </row>
    <row r="15" ht="94.5" customHeight="1">
      <c r="A15" s="48"/>
      <c r="B15" s="48"/>
      <c r="C15" s="44" t="s">
        <v>468</v>
      </c>
      <c r="D15" s="46" t="s">
        <v>229</v>
      </c>
      <c r="E15" s="46" t="s">
        <v>469</v>
      </c>
      <c r="F15" s="47"/>
      <c r="G15" s="47"/>
      <c r="H15" s="45" t="s">
        <v>319</v>
      </c>
    </row>
    <row r="16" ht="237.75" customHeight="1">
      <c r="A16" s="41"/>
      <c r="B16" s="41"/>
      <c r="C16" s="44" t="s">
        <v>470</v>
      </c>
      <c r="D16" s="46" t="s">
        <v>446</v>
      </c>
      <c r="E16" s="75" t="s">
        <v>410</v>
      </c>
      <c r="F16" s="47"/>
      <c r="G16" s="47"/>
      <c r="H16" s="45" t="s">
        <v>319</v>
      </c>
    </row>
    <row r="17" ht="21.0" customHeight="1">
      <c r="A17" s="52"/>
      <c r="B17" s="52" t="s">
        <v>175</v>
      </c>
      <c r="C17" s="53"/>
      <c r="D17" s="52"/>
      <c r="E17" s="52"/>
      <c r="F17" s="54"/>
      <c r="G17" s="52"/>
      <c r="H17" s="54"/>
    </row>
    <row r="18" ht="21.0" customHeight="1">
      <c r="A18" s="55" t="s">
        <v>176</v>
      </c>
      <c r="B18" s="56"/>
      <c r="C18" s="56"/>
      <c r="D18" s="56"/>
      <c r="E18" s="56"/>
      <c r="F18" s="56"/>
      <c r="G18" s="56"/>
      <c r="H18" s="57"/>
    </row>
    <row r="19" ht="21.0" customHeight="1">
      <c r="A19" s="58"/>
      <c r="H19" s="59"/>
    </row>
    <row r="20" ht="21.0" customHeight="1">
      <c r="A20" s="58"/>
      <c r="H20" s="59"/>
    </row>
    <row r="21" ht="18.75" customHeight="1">
      <c r="A21" s="58"/>
      <c r="H21" s="59"/>
    </row>
    <row r="22" ht="18.75" customHeight="1">
      <c r="A22" s="58"/>
      <c r="H22" s="59"/>
    </row>
    <row r="23" ht="18.75" customHeight="1">
      <c r="A23" s="58"/>
      <c r="H23" s="59"/>
    </row>
    <row r="24" ht="18.75" customHeight="1">
      <c r="A24" s="58"/>
      <c r="H24" s="59"/>
    </row>
    <row r="25" ht="18.75" customHeight="1">
      <c r="A25" s="58"/>
      <c r="H25" s="59"/>
    </row>
    <row r="26" ht="18.75" customHeight="1">
      <c r="A26" s="58"/>
      <c r="H26" s="59"/>
    </row>
    <row r="27" ht="18.75" customHeight="1">
      <c r="A27" s="58"/>
      <c r="H27" s="59"/>
    </row>
    <row r="28" ht="18.75" customHeight="1">
      <c r="A28" s="58"/>
      <c r="H28" s="59"/>
    </row>
    <row r="29" ht="18.75" customHeight="1">
      <c r="A29" s="58"/>
      <c r="H29" s="59"/>
    </row>
    <row r="30" ht="18.75" customHeight="1">
      <c r="A30" s="60"/>
      <c r="B30" s="61"/>
      <c r="C30" s="61"/>
      <c r="D30" s="61"/>
      <c r="E30" s="61"/>
      <c r="F30" s="61"/>
      <c r="G30" s="61"/>
      <c r="H30" s="62"/>
    </row>
    <row r="31" ht="18.75" customHeight="1">
      <c r="A31" s="63" t="s">
        <v>177</v>
      </c>
      <c r="B31" s="56"/>
      <c r="C31" s="56"/>
      <c r="D31" s="56"/>
      <c r="E31" s="56"/>
      <c r="F31" s="56"/>
      <c r="G31" s="56"/>
      <c r="H31" s="57"/>
    </row>
    <row r="32" ht="18.75" customHeight="1">
      <c r="A32" s="58"/>
      <c r="H32" s="59"/>
    </row>
    <row r="33" ht="18.75" customHeight="1">
      <c r="A33" s="58"/>
      <c r="H33" s="59"/>
    </row>
    <row r="34" ht="18.75" customHeight="1">
      <c r="A34" s="60"/>
      <c r="B34" s="61"/>
      <c r="C34" s="61"/>
      <c r="D34" s="61"/>
      <c r="E34" s="61"/>
      <c r="F34" s="61"/>
      <c r="G34" s="61"/>
      <c r="H34" s="62"/>
    </row>
    <row r="35" ht="18.75" customHeight="1"/>
    <row r="36" ht="18.75" customHeight="1"/>
    <row r="37" ht="18.75" customHeight="1"/>
    <row r="38" ht="18.75" customHeight="1"/>
    <row r="39" ht="18.75" customHeight="1"/>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mergeCells count="17">
    <mergeCell ref="B10:B11"/>
    <mergeCell ref="C10:C11"/>
    <mergeCell ref="A12:A16"/>
    <mergeCell ref="B12:B16"/>
    <mergeCell ref="A18:H30"/>
    <mergeCell ref="A31:H34"/>
    <mergeCell ref="D10:D11"/>
    <mergeCell ref="E10:E11"/>
    <mergeCell ref="F10:G10"/>
    <mergeCell ref="H10:H11"/>
    <mergeCell ref="A2:C2"/>
    <mergeCell ref="E2:H2"/>
    <mergeCell ref="A3:C3"/>
    <mergeCell ref="E3:H3"/>
    <mergeCell ref="E4:H4"/>
    <mergeCell ref="A5:H5"/>
    <mergeCell ref="A10:A11"/>
  </mergeCells>
  <hyperlinks>
    <hyperlink display="Ấn để trở về sheet &quot; Danh mục&quot;" location="'DANH MỤC'!A1" ref="I5"/>
  </hyperlinks>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5.0"/>
    <col customWidth="1" min="2" max="2" width="14.0"/>
    <col customWidth="1" min="3" max="3" width="47.0"/>
    <col customWidth="1" min="4" max="4" width="21.0"/>
    <col customWidth="1" min="5" max="5" width="24.0"/>
    <col customWidth="1" min="6" max="7" width="9.0"/>
    <col customWidth="1" min="8" max="8" width="21.0"/>
    <col customWidth="1" min="9" max="9" width="41.0"/>
    <col customWidth="1" min="10" max="26" width="14.0"/>
  </cols>
  <sheetData>
    <row r="1" ht="21.0" customHeight="1">
      <c r="A1" s="19"/>
      <c r="B1" s="19"/>
      <c r="C1" s="20"/>
      <c r="D1" s="21"/>
      <c r="E1" s="21"/>
      <c r="F1" s="22"/>
      <c r="G1" s="21"/>
      <c r="H1" s="22"/>
    </row>
    <row r="2" ht="18.75" customHeight="1">
      <c r="A2" s="69" t="s">
        <v>111</v>
      </c>
      <c r="D2" s="70"/>
      <c r="E2" s="26" t="s">
        <v>112</v>
      </c>
    </row>
    <row r="3" ht="21.0" customHeight="1">
      <c r="A3" s="1"/>
      <c r="D3" s="70"/>
      <c r="E3" s="1" t="s">
        <v>113</v>
      </c>
    </row>
    <row r="4" ht="21.0" customHeight="1">
      <c r="A4" s="70"/>
      <c r="B4" s="70"/>
      <c r="C4" s="70"/>
      <c r="D4" s="70"/>
      <c r="E4" s="26" t="s">
        <v>114</v>
      </c>
    </row>
    <row r="5" ht="21.75" customHeight="1">
      <c r="A5" s="27" t="s">
        <v>115</v>
      </c>
      <c r="I5" s="28" t="s">
        <v>116</v>
      </c>
    </row>
    <row r="6" ht="21.75" customHeight="1">
      <c r="A6" s="29" t="s">
        <v>117</v>
      </c>
      <c r="B6" s="30"/>
      <c r="C6" s="31" t="str">
        <f>+'DANH MỤC'!A2</f>
        <v>Công trình:</v>
      </c>
      <c r="D6" s="32"/>
      <c r="E6" s="32"/>
      <c r="F6" s="32"/>
      <c r="G6" s="32"/>
      <c r="H6" s="32"/>
    </row>
    <row r="7" ht="21.75" customHeight="1">
      <c r="A7" s="29"/>
      <c r="B7" s="32"/>
      <c r="C7" s="33" t="str">
        <f>+'DANH MỤC'!A3</f>
        <v>Địa điểm:</v>
      </c>
      <c r="D7" s="32"/>
      <c r="E7" s="32"/>
      <c r="F7" s="32"/>
      <c r="G7" s="32"/>
      <c r="H7" s="32"/>
    </row>
    <row r="8" ht="21.75" customHeight="1">
      <c r="A8" s="29"/>
      <c r="B8" s="32"/>
      <c r="C8" s="33" t="str">
        <f>"Công tác"&amp;": "&amp;'DANH MỤC'!B33</f>
        <v>Công tác: Gia công lắp dựng ván khuôn dầm sàn</v>
      </c>
      <c r="D8" s="32"/>
      <c r="E8" s="32"/>
      <c r="F8" s="32"/>
      <c r="G8" s="32"/>
      <c r="H8" s="32"/>
    </row>
    <row r="9" ht="21.75" customHeight="1">
      <c r="A9" s="34"/>
      <c r="B9" s="35"/>
      <c r="C9" s="36"/>
      <c r="D9" s="35"/>
      <c r="E9" s="35"/>
      <c r="F9" s="35"/>
      <c r="G9" s="35"/>
    </row>
    <row r="10" ht="21.75" customHeight="1">
      <c r="A10" s="37" t="s">
        <v>3</v>
      </c>
      <c r="B10" s="37" t="s">
        <v>118</v>
      </c>
      <c r="C10" s="38" t="s">
        <v>119</v>
      </c>
      <c r="D10" s="38" t="s">
        <v>120</v>
      </c>
      <c r="E10" s="38" t="s">
        <v>121</v>
      </c>
      <c r="F10" s="39" t="s">
        <v>122</v>
      </c>
      <c r="G10" s="40"/>
      <c r="H10" s="38" t="s">
        <v>123</v>
      </c>
    </row>
    <row r="11" ht="21.75" customHeight="1">
      <c r="A11" s="41"/>
      <c r="B11" s="41"/>
      <c r="C11" s="41"/>
      <c r="D11" s="41"/>
      <c r="E11" s="41"/>
      <c r="F11" s="42" t="s">
        <v>124</v>
      </c>
      <c r="G11" s="42" t="s">
        <v>125</v>
      </c>
      <c r="H11" s="41"/>
    </row>
    <row r="12" ht="78.0" customHeight="1">
      <c r="A12" s="43">
        <v>1.0</v>
      </c>
      <c r="B12" s="38" t="s">
        <v>471</v>
      </c>
      <c r="C12" s="44" t="s">
        <v>376</v>
      </c>
      <c r="D12" s="46" t="s">
        <v>361</v>
      </c>
      <c r="E12" s="46" t="s">
        <v>377</v>
      </c>
      <c r="F12" s="47"/>
      <c r="G12" s="47"/>
      <c r="H12" s="45"/>
    </row>
    <row r="13" ht="58.5" customHeight="1">
      <c r="A13" s="48"/>
      <c r="B13" s="48"/>
      <c r="C13" s="44" t="s">
        <v>472</v>
      </c>
      <c r="D13" s="46" t="s">
        <v>473</v>
      </c>
      <c r="E13" s="45" t="s">
        <v>474</v>
      </c>
      <c r="F13" s="47"/>
      <c r="G13" s="47"/>
      <c r="H13" s="45" t="s">
        <v>319</v>
      </c>
    </row>
    <row r="14" ht="70.5" customHeight="1">
      <c r="A14" s="48"/>
      <c r="B14" s="48"/>
      <c r="C14" s="44" t="s">
        <v>384</v>
      </c>
      <c r="D14" s="46" t="s">
        <v>385</v>
      </c>
      <c r="E14" s="45" t="s">
        <v>373</v>
      </c>
      <c r="F14" s="47"/>
      <c r="G14" s="47"/>
      <c r="H14" s="45" t="s">
        <v>319</v>
      </c>
    </row>
    <row r="15" ht="97.5" customHeight="1">
      <c r="A15" s="48"/>
      <c r="B15" s="48"/>
      <c r="C15" s="44" t="s">
        <v>386</v>
      </c>
      <c r="D15" s="46" t="s">
        <v>387</v>
      </c>
      <c r="E15" s="46" t="s">
        <v>388</v>
      </c>
      <c r="F15" s="47"/>
      <c r="G15" s="47"/>
      <c r="H15" s="45" t="s">
        <v>319</v>
      </c>
    </row>
    <row r="16" ht="84.0" customHeight="1">
      <c r="A16" s="48"/>
      <c r="B16" s="48"/>
      <c r="C16" s="44" t="s">
        <v>389</v>
      </c>
      <c r="D16" s="46" t="s">
        <v>361</v>
      </c>
      <c r="E16" s="46" t="s">
        <v>390</v>
      </c>
      <c r="F16" s="47"/>
      <c r="G16" s="47"/>
      <c r="H16" s="45" t="s">
        <v>319</v>
      </c>
    </row>
    <row r="17" ht="58.5" customHeight="1">
      <c r="A17" s="48"/>
      <c r="B17" s="48"/>
      <c r="C17" s="44" t="s">
        <v>391</v>
      </c>
      <c r="D17" s="46" t="s">
        <v>392</v>
      </c>
      <c r="E17" s="46" t="s">
        <v>133</v>
      </c>
      <c r="F17" s="47"/>
      <c r="G17" s="47"/>
      <c r="H17" s="45" t="s">
        <v>319</v>
      </c>
    </row>
    <row r="18" ht="81.75" customHeight="1">
      <c r="A18" s="48"/>
      <c r="B18" s="48"/>
      <c r="C18" s="44" t="s">
        <v>475</v>
      </c>
      <c r="D18" s="102" t="s">
        <v>379</v>
      </c>
      <c r="E18" s="45" t="s">
        <v>380</v>
      </c>
      <c r="F18" s="47"/>
      <c r="G18" s="47"/>
      <c r="H18" s="45" t="s">
        <v>319</v>
      </c>
    </row>
    <row r="19" ht="84.0" customHeight="1">
      <c r="A19" s="41"/>
      <c r="B19" s="41"/>
      <c r="C19" s="44" t="s">
        <v>393</v>
      </c>
      <c r="D19" s="102" t="s">
        <v>394</v>
      </c>
      <c r="E19" s="103" t="s">
        <v>395</v>
      </c>
      <c r="F19" s="104"/>
      <c r="G19" s="47"/>
      <c r="H19" s="45" t="s">
        <v>319</v>
      </c>
    </row>
    <row r="20" ht="21.0" customHeight="1">
      <c r="A20" s="52"/>
      <c r="B20" s="52" t="s">
        <v>175</v>
      </c>
      <c r="C20" s="53"/>
      <c r="D20" s="52"/>
      <c r="E20" s="52"/>
      <c r="F20" s="54"/>
      <c r="G20" s="52"/>
      <c r="H20" s="54"/>
    </row>
    <row r="21" ht="21.0" customHeight="1">
      <c r="A21" s="55" t="s">
        <v>176</v>
      </c>
      <c r="B21" s="56"/>
      <c r="C21" s="56"/>
      <c r="D21" s="56"/>
      <c r="E21" s="56"/>
      <c r="F21" s="56"/>
      <c r="G21" s="56"/>
      <c r="H21" s="57"/>
    </row>
    <row r="22" ht="18.75" customHeight="1">
      <c r="A22" s="58"/>
      <c r="H22" s="59"/>
    </row>
    <row r="23" ht="18.75" customHeight="1">
      <c r="A23" s="58"/>
      <c r="H23" s="59"/>
    </row>
    <row r="24" ht="18.75" customHeight="1">
      <c r="A24" s="58"/>
      <c r="H24" s="59"/>
    </row>
    <row r="25" ht="18.75" customHeight="1">
      <c r="A25" s="58"/>
      <c r="H25" s="59"/>
    </row>
    <row r="26" ht="18.75" customHeight="1">
      <c r="A26" s="58"/>
      <c r="H26" s="59"/>
    </row>
    <row r="27" ht="18.75" customHeight="1">
      <c r="A27" s="58"/>
      <c r="H27" s="59"/>
    </row>
    <row r="28" ht="18.75" customHeight="1">
      <c r="A28" s="58"/>
      <c r="H28" s="59"/>
    </row>
    <row r="29" ht="18.75" customHeight="1">
      <c r="A29" s="58"/>
      <c r="H29" s="59"/>
    </row>
    <row r="30" ht="18.75" customHeight="1">
      <c r="A30" s="58"/>
      <c r="H30" s="59"/>
    </row>
    <row r="31" ht="18.75" customHeight="1">
      <c r="A31" s="58"/>
      <c r="H31" s="59"/>
    </row>
    <row r="32" ht="18.75" customHeight="1">
      <c r="A32" s="58"/>
      <c r="H32" s="59"/>
    </row>
    <row r="33" ht="18.75" customHeight="1">
      <c r="A33" s="60"/>
      <c r="B33" s="61"/>
      <c r="C33" s="61"/>
      <c r="D33" s="61"/>
      <c r="E33" s="61"/>
      <c r="F33" s="61"/>
      <c r="G33" s="61"/>
      <c r="H33" s="62"/>
    </row>
    <row r="34" ht="18.75" customHeight="1">
      <c r="A34" s="63" t="s">
        <v>177</v>
      </c>
      <c r="B34" s="56"/>
      <c r="C34" s="56"/>
      <c r="D34" s="56"/>
      <c r="E34" s="56"/>
      <c r="F34" s="56"/>
      <c r="G34" s="56"/>
      <c r="H34" s="57"/>
    </row>
    <row r="35" ht="18.75" customHeight="1">
      <c r="A35" s="58"/>
      <c r="H35" s="59"/>
    </row>
    <row r="36" ht="18.75" customHeight="1">
      <c r="A36" s="58"/>
      <c r="H36" s="59"/>
    </row>
    <row r="37" ht="18.75" customHeight="1">
      <c r="A37" s="60"/>
      <c r="B37" s="61"/>
      <c r="C37" s="61"/>
      <c r="D37" s="61"/>
      <c r="E37" s="61"/>
      <c r="F37" s="61"/>
      <c r="G37" s="61"/>
      <c r="H37" s="62"/>
    </row>
    <row r="38" ht="18.75" customHeight="1"/>
    <row r="39" ht="18.75" customHeight="1"/>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mergeCells count="17">
    <mergeCell ref="B10:B11"/>
    <mergeCell ref="C10:C11"/>
    <mergeCell ref="A12:A19"/>
    <mergeCell ref="B12:B19"/>
    <mergeCell ref="A21:H33"/>
    <mergeCell ref="A34:H37"/>
    <mergeCell ref="D10:D11"/>
    <mergeCell ref="E10:E11"/>
    <mergeCell ref="F10:G10"/>
    <mergeCell ref="H10:H11"/>
    <mergeCell ref="A2:C2"/>
    <mergeCell ref="E2:H2"/>
    <mergeCell ref="A3:C3"/>
    <mergeCell ref="E3:H3"/>
    <mergeCell ref="E4:H4"/>
    <mergeCell ref="A5:H5"/>
    <mergeCell ref="A10:A11"/>
  </mergeCells>
  <hyperlinks>
    <hyperlink display="Ấn để trở về sheet &quot; Danh mục&quot;" location="'DANH MỤC'!A1" ref="I5"/>
  </hyperlinks>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5.0"/>
    <col customWidth="1" min="2" max="2" width="14.0"/>
    <col customWidth="1" min="3" max="3" width="47.0"/>
    <col customWidth="1" min="4" max="4" width="21.0"/>
    <col customWidth="1" min="5" max="5" width="24.0"/>
    <col customWidth="1" min="6" max="7" width="9.0"/>
    <col customWidth="1" min="8" max="8" width="21.0"/>
    <col customWidth="1" min="9" max="9" width="43.0"/>
    <col customWidth="1" min="10" max="26" width="14.0"/>
  </cols>
  <sheetData>
    <row r="1" ht="21.0" customHeight="1">
      <c r="A1" s="19"/>
      <c r="B1" s="19"/>
      <c r="C1" s="20"/>
      <c r="D1" s="21"/>
      <c r="E1" s="21"/>
      <c r="F1" s="22"/>
      <c r="G1" s="21"/>
      <c r="H1" s="22"/>
    </row>
    <row r="2" ht="18.75" customHeight="1">
      <c r="A2" s="69" t="s">
        <v>111</v>
      </c>
      <c r="D2" s="70"/>
      <c r="E2" s="26" t="s">
        <v>112</v>
      </c>
    </row>
    <row r="3" ht="21.0" customHeight="1">
      <c r="A3" s="1"/>
      <c r="D3" s="70"/>
      <c r="E3" s="1" t="s">
        <v>113</v>
      </c>
    </row>
    <row r="4" ht="21.0" customHeight="1">
      <c r="A4" s="70"/>
      <c r="B4" s="70"/>
      <c r="C4" s="70"/>
      <c r="D4" s="70"/>
      <c r="E4" s="26" t="s">
        <v>114</v>
      </c>
    </row>
    <row r="5" ht="21.75" customHeight="1">
      <c r="A5" s="27" t="s">
        <v>115</v>
      </c>
      <c r="I5" s="28" t="s">
        <v>116</v>
      </c>
    </row>
    <row r="6" ht="21.75" customHeight="1">
      <c r="A6" s="29" t="s">
        <v>117</v>
      </c>
      <c r="B6" s="30"/>
      <c r="C6" s="31" t="str">
        <f>+'DANH MỤC'!A2</f>
        <v>Công trình:</v>
      </c>
      <c r="D6" s="32"/>
      <c r="E6" s="32"/>
      <c r="F6" s="32"/>
      <c r="G6" s="32"/>
      <c r="H6" s="32"/>
    </row>
    <row r="7" ht="21.75" customHeight="1">
      <c r="A7" s="29"/>
      <c r="B7" s="32"/>
      <c r="C7" s="33" t="str">
        <f>+'DANH MỤC'!A3</f>
        <v>Địa điểm:</v>
      </c>
      <c r="D7" s="32"/>
      <c r="E7" s="32"/>
      <c r="F7" s="32"/>
      <c r="G7" s="32"/>
      <c r="H7" s="32"/>
    </row>
    <row r="8" ht="21.75" customHeight="1">
      <c r="A8" s="29"/>
      <c r="B8" s="32"/>
      <c r="C8" s="33" t="str">
        <f>"Công tác"&amp;": "&amp;'DANH MỤC'!B34</f>
        <v>Công tác: Gia công lắp dựng cốt thép dầm sàn</v>
      </c>
      <c r="D8" s="32"/>
      <c r="E8" s="32"/>
      <c r="F8" s="32"/>
      <c r="G8" s="32"/>
      <c r="H8" s="32"/>
    </row>
    <row r="9" ht="21.75" customHeight="1">
      <c r="A9" s="34"/>
      <c r="B9" s="35"/>
      <c r="C9" s="36"/>
      <c r="D9" s="35"/>
      <c r="E9" s="35"/>
      <c r="F9" s="35"/>
      <c r="G9" s="35"/>
    </row>
    <row r="10" ht="21.75" customHeight="1">
      <c r="A10" s="37" t="s">
        <v>3</v>
      </c>
      <c r="B10" s="37" t="s">
        <v>118</v>
      </c>
      <c r="C10" s="38" t="s">
        <v>119</v>
      </c>
      <c r="D10" s="38" t="s">
        <v>120</v>
      </c>
      <c r="E10" s="38" t="s">
        <v>121</v>
      </c>
      <c r="F10" s="39" t="s">
        <v>122</v>
      </c>
      <c r="G10" s="40"/>
      <c r="H10" s="38" t="s">
        <v>123</v>
      </c>
    </row>
    <row r="11" ht="21.75" customHeight="1">
      <c r="A11" s="41"/>
      <c r="B11" s="41"/>
      <c r="C11" s="41"/>
      <c r="D11" s="41"/>
      <c r="E11" s="41"/>
      <c r="F11" s="42" t="s">
        <v>124</v>
      </c>
      <c r="G11" s="42" t="s">
        <v>125</v>
      </c>
      <c r="H11" s="41"/>
    </row>
    <row r="12" ht="99.0" customHeight="1">
      <c r="A12" s="43">
        <v>1.0</v>
      </c>
      <c r="B12" s="38" t="s">
        <v>476</v>
      </c>
      <c r="C12" s="44" t="s">
        <v>477</v>
      </c>
      <c r="D12" s="46" t="s">
        <v>357</v>
      </c>
      <c r="E12" s="46" t="s">
        <v>133</v>
      </c>
      <c r="F12" s="47"/>
      <c r="G12" s="47"/>
      <c r="H12" s="45" t="s">
        <v>319</v>
      </c>
    </row>
    <row r="13" ht="78.0" customHeight="1">
      <c r="A13" s="48"/>
      <c r="B13" s="48"/>
      <c r="C13" s="44" t="s">
        <v>478</v>
      </c>
      <c r="D13" s="46" t="s">
        <v>361</v>
      </c>
      <c r="E13" s="46" t="s">
        <v>133</v>
      </c>
      <c r="F13" s="47"/>
      <c r="G13" s="47"/>
      <c r="H13" s="45" t="s">
        <v>319</v>
      </c>
    </row>
    <row r="14" ht="51.75" customHeight="1">
      <c r="A14" s="48"/>
      <c r="B14" s="48"/>
      <c r="C14" s="44" t="s">
        <v>479</v>
      </c>
      <c r="D14" s="46" t="s">
        <v>361</v>
      </c>
      <c r="E14" s="45" t="s">
        <v>364</v>
      </c>
      <c r="F14" s="47"/>
      <c r="G14" s="47"/>
      <c r="H14" s="45" t="s">
        <v>319</v>
      </c>
    </row>
    <row r="15" ht="42.0" customHeight="1">
      <c r="A15" s="48"/>
      <c r="B15" s="41"/>
      <c r="C15" s="44" t="s">
        <v>480</v>
      </c>
      <c r="D15" s="46" t="s">
        <v>361</v>
      </c>
      <c r="E15" s="45" t="s">
        <v>364</v>
      </c>
      <c r="F15" s="47"/>
      <c r="G15" s="47"/>
      <c r="H15" s="45" t="s">
        <v>319</v>
      </c>
    </row>
    <row r="16" ht="48.0" customHeight="1">
      <c r="A16" s="48"/>
      <c r="B16" s="38" t="s">
        <v>481</v>
      </c>
      <c r="C16" s="44" t="s">
        <v>482</v>
      </c>
      <c r="D16" s="46" t="s">
        <v>361</v>
      </c>
      <c r="E16" s="45" t="s">
        <v>483</v>
      </c>
      <c r="F16" s="47"/>
      <c r="G16" s="47"/>
      <c r="H16" s="45" t="s">
        <v>319</v>
      </c>
    </row>
    <row r="17" ht="51.75" customHeight="1">
      <c r="A17" s="48"/>
      <c r="B17" s="48"/>
      <c r="C17" s="44" t="s">
        <v>484</v>
      </c>
      <c r="D17" s="46" t="s">
        <v>361</v>
      </c>
      <c r="E17" s="45" t="s">
        <v>483</v>
      </c>
      <c r="F17" s="47"/>
      <c r="G17" s="47"/>
      <c r="H17" s="45" t="s">
        <v>319</v>
      </c>
    </row>
    <row r="18" ht="57.0" customHeight="1">
      <c r="A18" s="48"/>
      <c r="B18" s="48"/>
      <c r="C18" s="44" t="s">
        <v>485</v>
      </c>
      <c r="D18" s="46" t="s">
        <v>361</v>
      </c>
      <c r="E18" s="45" t="s">
        <v>486</v>
      </c>
      <c r="F18" s="47"/>
      <c r="G18" s="47"/>
      <c r="H18" s="45" t="s">
        <v>319</v>
      </c>
    </row>
    <row r="19" ht="48.0" customHeight="1">
      <c r="A19" s="48"/>
      <c r="B19" s="41"/>
      <c r="C19" s="44" t="s">
        <v>487</v>
      </c>
      <c r="D19" s="46" t="s">
        <v>229</v>
      </c>
      <c r="E19" s="45" t="s">
        <v>488</v>
      </c>
      <c r="F19" s="47"/>
      <c r="G19" s="47"/>
      <c r="H19" s="45"/>
    </row>
    <row r="20" ht="49.5" customHeight="1">
      <c r="A20" s="48"/>
      <c r="B20" s="38" t="s">
        <v>489</v>
      </c>
      <c r="C20" s="44" t="s">
        <v>490</v>
      </c>
      <c r="D20" s="46" t="s">
        <v>229</v>
      </c>
      <c r="E20" s="45" t="s">
        <v>488</v>
      </c>
      <c r="F20" s="47"/>
      <c r="G20" s="47"/>
      <c r="H20" s="45"/>
    </row>
    <row r="21" ht="79.5" customHeight="1">
      <c r="A21" s="48"/>
      <c r="B21" s="48"/>
      <c r="C21" s="44" t="s">
        <v>491</v>
      </c>
      <c r="D21" s="46" t="s">
        <v>229</v>
      </c>
      <c r="E21" s="45" t="s">
        <v>133</v>
      </c>
      <c r="F21" s="47"/>
      <c r="G21" s="47"/>
      <c r="H21" s="45" t="s">
        <v>319</v>
      </c>
    </row>
    <row r="22" ht="88.5" customHeight="1">
      <c r="A22" s="48"/>
      <c r="B22" s="48"/>
      <c r="C22" s="44" t="s">
        <v>492</v>
      </c>
      <c r="D22" s="46" t="s">
        <v>361</v>
      </c>
      <c r="E22" s="46" t="s">
        <v>133</v>
      </c>
      <c r="F22" s="47"/>
      <c r="G22" s="47"/>
      <c r="H22" s="45" t="s">
        <v>319</v>
      </c>
    </row>
    <row r="23" ht="46.5" customHeight="1">
      <c r="A23" s="48"/>
      <c r="B23" s="48"/>
      <c r="C23" s="44" t="s">
        <v>442</v>
      </c>
      <c r="D23" s="46" t="s">
        <v>361</v>
      </c>
      <c r="E23" s="45" t="s">
        <v>483</v>
      </c>
      <c r="F23" s="47"/>
      <c r="G23" s="47"/>
      <c r="H23" s="45" t="s">
        <v>319</v>
      </c>
    </row>
    <row r="24" ht="183.75" customHeight="1">
      <c r="A24" s="48"/>
      <c r="B24" s="48"/>
      <c r="C24" s="44" t="s">
        <v>366</v>
      </c>
      <c r="D24" s="46" t="s">
        <v>361</v>
      </c>
      <c r="E24" s="46" t="s">
        <v>493</v>
      </c>
      <c r="F24" s="47"/>
      <c r="G24" s="47"/>
      <c r="H24" s="45" t="s">
        <v>319</v>
      </c>
    </row>
    <row r="25" ht="51.0" customHeight="1">
      <c r="A25" s="48"/>
      <c r="B25" s="48"/>
      <c r="C25" s="44" t="s">
        <v>367</v>
      </c>
      <c r="D25" s="46" t="s">
        <v>361</v>
      </c>
      <c r="E25" s="46" t="s">
        <v>494</v>
      </c>
      <c r="F25" s="47"/>
      <c r="G25" s="47"/>
      <c r="H25" s="45" t="s">
        <v>319</v>
      </c>
    </row>
    <row r="26" ht="69.0" customHeight="1">
      <c r="A26" s="48"/>
      <c r="B26" s="48"/>
      <c r="C26" s="44" t="s">
        <v>144</v>
      </c>
      <c r="D26" s="100" t="s">
        <v>229</v>
      </c>
      <c r="E26" s="66" t="s">
        <v>373</v>
      </c>
      <c r="F26" s="47"/>
      <c r="G26" s="47"/>
      <c r="H26" s="45"/>
    </row>
    <row r="27" ht="60.0" customHeight="1">
      <c r="A27" s="68"/>
      <c r="B27" s="41"/>
      <c r="C27" s="44" t="s">
        <v>495</v>
      </c>
      <c r="D27" s="101" t="s">
        <v>229</v>
      </c>
      <c r="E27" s="66" t="s">
        <v>373</v>
      </c>
      <c r="F27" s="47"/>
      <c r="G27" s="47"/>
      <c r="H27" s="45"/>
    </row>
    <row r="28" ht="21.0" customHeight="1">
      <c r="A28" s="52"/>
      <c r="B28" s="52" t="s">
        <v>175</v>
      </c>
      <c r="C28" s="53"/>
      <c r="D28" s="52"/>
      <c r="E28" s="52"/>
      <c r="F28" s="54"/>
      <c r="G28" s="52"/>
      <c r="H28" s="54"/>
    </row>
    <row r="29" ht="21.0" customHeight="1">
      <c r="A29" s="55" t="s">
        <v>176</v>
      </c>
      <c r="B29" s="56"/>
      <c r="C29" s="56"/>
      <c r="D29" s="56"/>
      <c r="E29" s="56"/>
      <c r="F29" s="56"/>
      <c r="G29" s="56"/>
      <c r="H29" s="57"/>
    </row>
    <row r="30" ht="18.75" customHeight="1">
      <c r="A30" s="58"/>
      <c r="H30" s="59"/>
    </row>
    <row r="31" ht="18.75" customHeight="1">
      <c r="A31" s="58"/>
      <c r="H31" s="59"/>
    </row>
    <row r="32" ht="18.75" customHeight="1">
      <c r="A32" s="58"/>
      <c r="H32" s="59"/>
    </row>
    <row r="33" ht="18.75" customHeight="1">
      <c r="A33" s="58"/>
      <c r="H33" s="59"/>
    </row>
    <row r="34" ht="18.75" customHeight="1">
      <c r="A34" s="58"/>
      <c r="H34" s="59"/>
    </row>
    <row r="35" ht="18.75" customHeight="1">
      <c r="A35" s="58"/>
      <c r="H35" s="59"/>
    </row>
    <row r="36" ht="18.75" customHeight="1">
      <c r="A36" s="58"/>
      <c r="H36" s="59"/>
    </row>
    <row r="37" ht="18.75" customHeight="1">
      <c r="A37" s="58"/>
      <c r="H37" s="59"/>
    </row>
    <row r="38" ht="18.75" customHeight="1">
      <c r="A38" s="58"/>
      <c r="H38" s="59"/>
    </row>
    <row r="39" ht="18.75" customHeight="1">
      <c r="A39" s="58"/>
      <c r="H39" s="59"/>
    </row>
    <row r="40" ht="18.75" customHeight="1">
      <c r="A40" s="58"/>
      <c r="H40" s="59"/>
    </row>
    <row r="41" ht="18.75" customHeight="1">
      <c r="A41" s="60"/>
      <c r="B41" s="61"/>
      <c r="C41" s="61"/>
      <c r="D41" s="61"/>
      <c r="E41" s="61"/>
      <c r="F41" s="61"/>
      <c r="G41" s="61"/>
      <c r="H41" s="62"/>
    </row>
    <row r="42" ht="18.75" customHeight="1">
      <c r="A42" s="63" t="s">
        <v>177</v>
      </c>
      <c r="B42" s="56"/>
      <c r="C42" s="56"/>
      <c r="D42" s="56"/>
      <c r="E42" s="56"/>
      <c r="F42" s="56"/>
      <c r="G42" s="56"/>
      <c r="H42" s="57"/>
    </row>
    <row r="43" ht="18.75" customHeight="1">
      <c r="A43" s="58"/>
      <c r="H43" s="59"/>
    </row>
    <row r="44" ht="18.75" customHeight="1">
      <c r="A44" s="58"/>
      <c r="H44" s="59"/>
    </row>
    <row r="45" ht="18.75" customHeight="1">
      <c r="A45" s="60"/>
      <c r="B45" s="61"/>
      <c r="C45" s="61"/>
      <c r="D45" s="61"/>
      <c r="E45" s="61"/>
      <c r="F45" s="61"/>
      <c r="G45" s="61"/>
      <c r="H45" s="62"/>
    </row>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mergeCells count="19">
    <mergeCell ref="B10:B11"/>
    <mergeCell ref="C10:C11"/>
    <mergeCell ref="A12:A26"/>
    <mergeCell ref="B12:B15"/>
    <mergeCell ref="B16:B19"/>
    <mergeCell ref="B20:B27"/>
    <mergeCell ref="A29:H41"/>
    <mergeCell ref="A42:H45"/>
    <mergeCell ref="D10:D11"/>
    <mergeCell ref="E10:E11"/>
    <mergeCell ref="F10:G10"/>
    <mergeCell ref="H10:H11"/>
    <mergeCell ref="A2:C2"/>
    <mergeCell ref="E2:H2"/>
    <mergeCell ref="A3:C3"/>
    <mergeCell ref="E3:H3"/>
    <mergeCell ref="E4:H4"/>
    <mergeCell ref="A5:H5"/>
    <mergeCell ref="A10:A11"/>
  </mergeCells>
  <hyperlinks>
    <hyperlink display="Ấn để trở về sheet &quot; Danh mục&quot;" location="'DANH MỤC'!A1" ref="I5"/>
  </hyperlinks>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5.0"/>
    <col customWidth="1" min="2" max="2" width="14.0"/>
    <col customWidth="1" min="3" max="3" width="45.0"/>
    <col customWidth="1" min="4" max="4" width="23.0"/>
    <col customWidth="1" min="5" max="5" width="25.0"/>
    <col customWidth="1" min="6" max="7" width="9.0"/>
    <col customWidth="1" min="8" max="8" width="21.0"/>
    <col customWidth="1" min="9" max="9" width="43.0"/>
    <col customWidth="1" min="10" max="26" width="14.0"/>
  </cols>
  <sheetData>
    <row r="1" ht="21.0" customHeight="1">
      <c r="A1" s="19"/>
      <c r="B1" s="19"/>
      <c r="C1" s="20"/>
      <c r="D1" s="21"/>
      <c r="E1" s="21"/>
      <c r="F1" s="22"/>
      <c r="G1" s="21"/>
      <c r="H1" s="22"/>
    </row>
    <row r="2" ht="18.75" customHeight="1">
      <c r="A2" s="69" t="s">
        <v>111</v>
      </c>
      <c r="D2" s="70"/>
      <c r="E2" s="26" t="s">
        <v>112</v>
      </c>
    </row>
    <row r="3" ht="21.0" customHeight="1">
      <c r="A3" s="1"/>
      <c r="D3" s="70"/>
      <c r="E3" s="1" t="s">
        <v>113</v>
      </c>
    </row>
    <row r="4" ht="21.0" customHeight="1">
      <c r="A4" s="70"/>
      <c r="B4" s="70"/>
      <c r="C4" s="70"/>
      <c r="D4" s="70"/>
      <c r="E4" s="26" t="s">
        <v>114</v>
      </c>
    </row>
    <row r="5" ht="21.75" customHeight="1">
      <c r="A5" s="27" t="s">
        <v>115</v>
      </c>
      <c r="I5" s="28" t="s">
        <v>116</v>
      </c>
    </row>
    <row r="6" ht="21.75" customHeight="1">
      <c r="A6" s="29" t="s">
        <v>117</v>
      </c>
      <c r="B6" s="30"/>
      <c r="C6" s="31" t="str">
        <f>+'DANH MỤC'!A2</f>
        <v>Công trình:</v>
      </c>
      <c r="D6" s="32"/>
      <c r="E6" s="32"/>
      <c r="F6" s="32"/>
      <c r="G6" s="32"/>
      <c r="H6" s="32"/>
    </row>
    <row r="7" ht="21.75" customHeight="1">
      <c r="A7" s="29"/>
      <c r="B7" s="32"/>
      <c r="C7" s="33" t="str">
        <f>+'DANH MỤC'!A3</f>
        <v>Địa điểm:</v>
      </c>
      <c r="D7" s="32"/>
      <c r="E7" s="32"/>
      <c r="F7" s="32"/>
      <c r="G7" s="32"/>
      <c r="H7" s="32"/>
    </row>
    <row r="8" ht="21.75" customHeight="1">
      <c r="A8" s="29"/>
      <c r="B8" s="32"/>
      <c r="C8" s="33" t="str">
        <f>"Công tác"&amp;": "&amp;'DANH MỤC'!B35</f>
        <v>Công tác: Bê tông dầm sàn</v>
      </c>
      <c r="D8" s="32"/>
      <c r="E8" s="32"/>
      <c r="F8" s="32"/>
      <c r="G8" s="32"/>
      <c r="H8" s="32"/>
    </row>
    <row r="9" ht="21.75" customHeight="1">
      <c r="A9" s="34"/>
      <c r="B9" s="35"/>
      <c r="C9" s="36"/>
      <c r="D9" s="35"/>
      <c r="E9" s="35"/>
      <c r="F9" s="35"/>
      <c r="G9" s="35"/>
    </row>
    <row r="10" ht="21.75" customHeight="1">
      <c r="A10" s="37" t="s">
        <v>3</v>
      </c>
      <c r="B10" s="37" t="s">
        <v>118</v>
      </c>
      <c r="C10" s="38" t="s">
        <v>119</v>
      </c>
      <c r="D10" s="38" t="s">
        <v>120</v>
      </c>
      <c r="E10" s="38" t="s">
        <v>121</v>
      </c>
      <c r="F10" s="39" t="s">
        <v>122</v>
      </c>
      <c r="G10" s="40"/>
      <c r="H10" s="38" t="s">
        <v>123</v>
      </c>
    </row>
    <row r="11" ht="21.75" customHeight="1">
      <c r="A11" s="41"/>
      <c r="B11" s="41"/>
      <c r="C11" s="41"/>
      <c r="D11" s="41"/>
      <c r="E11" s="41"/>
      <c r="F11" s="42" t="s">
        <v>124</v>
      </c>
      <c r="G11" s="42" t="s">
        <v>125</v>
      </c>
      <c r="H11" s="41"/>
    </row>
    <row r="12" ht="66.75" customHeight="1">
      <c r="A12" s="43">
        <v>1.0</v>
      </c>
      <c r="B12" s="106" t="s">
        <v>496</v>
      </c>
      <c r="C12" s="81" t="s">
        <v>497</v>
      </c>
      <c r="D12" s="75" t="s">
        <v>229</v>
      </c>
      <c r="E12" s="75" t="s">
        <v>463</v>
      </c>
      <c r="F12" s="107"/>
      <c r="G12" s="107"/>
      <c r="H12" s="75"/>
    </row>
    <row r="13" ht="57.0" customHeight="1">
      <c r="A13" s="48"/>
      <c r="B13" s="48"/>
      <c r="C13" s="81" t="s">
        <v>498</v>
      </c>
      <c r="D13" s="75" t="s">
        <v>229</v>
      </c>
      <c r="E13" s="75" t="s">
        <v>463</v>
      </c>
      <c r="F13" s="107"/>
      <c r="G13" s="107"/>
      <c r="H13" s="75"/>
    </row>
    <row r="14" ht="243.75" customHeight="1">
      <c r="A14" s="48"/>
      <c r="B14" s="48"/>
      <c r="C14" s="44" t="s">
        <v>499</v>
      </c>
      <c r="D14" s="46" t="s">
        <v>229</v>
      </c>
      <c r="E14" s="108" t="s">
        <v>500</v>
      </c>
      <c r="F14" s="47"/>
      <c r="G14" s="47"/>
      <c r="H14" s="45" t="s">
        <v>319</v>
      </c>
    </row>
    <row r="15" ht="45.75" customHeight="1">
      <c r="A15" s="48"/>
      <c r="B15" s="48"/>
      <c r="C15" s="44" t="s">
        <v>501</v>
      </c>
      <c r="D15" s="46" t="s">
        <v>502</v>
      </c>
      <c r="E15" s="46" t="s">
        <v>133</v>
      </c>
      <c r="F15" s="47"/>
      <c r="G15" s="47"/>
      <c r="H15" s="45" t="s">
        <v>319</v>
      </c>
    </row>
    <row r="16" ht="213.75" customHeight="1">
      <c r="A16" s="48"/>
      <c r="B16" s="48"/>
      <c r="C16" s="44" t="s">
        <v>409</v>
      </c>
      <c r="D16" s="46" t="s">
        <v>446</v>
      </c>
      <c r="E16" s="75" t="s">
        <v>410</v>
      </c>
      <c r="F16" s="47"/>
      <c r="G16" s="47"/>
      <c r="H16" s="45" t="s">
        <v>319</v>
      </c>
    </row>
    <row r="17" ht="97.5" customHeight="1">
      <c r="A17" s="41"/>
      <c r="B17" s="41"/>
      <c r="C17" s="44" t="s">
        <v>503</v>
      </c>
      <c r="D17" s="46" t="s">
        <v>446</v>
      </c>
      <c r="E17" s="46" t="s">
        <v>504</v>
      </c>
      <c r="F17" s="47"/>
      <c r="G17" s="47"/>
      <c r="H17" s="45" t="s">
        <v>319</v>
      </c>
    </row>
    <row r="18" ht="21.0" customHeight="1">
      <c r="A18" s="52"/>
      <c r="B18" s="52" t="s">
        <v>175</v>
      </c>
      <c r="C18" s="53"/>
      <c r="D18" s="52"/>
      <c r="E18" s="52"/>
      <c r="F18" s="54"/>
      <c r="G18" s="52"/>
      <c r="H18" s="54"/>
    </row>
    <row r="19" ht="21.0" customHeight="1">
      <c r="A19" s="55" t="s">
        <v>176</v>
      </c>
      <c r="B19" s="56"/>
      <c r="C19" s="56"/>
      <c r="D19" s="56"/>
      <c r="E19" s="56"/>
      <c r="F19" s="56"/>
      <c r="G19" s="56"/>
      <c r="H19" s="57"/>
    </row>
    <row r="20" ht="21.0" customHeight="1">
      <c r="A20" s="58"/>
      <c r="H20" s="59"/>
    </row>
    <row r="21" ht="18.75" customHeight="1">
      <c r="A21" s="58"/>
      <c r="H21" s="59"/>
    </row>
    <row r="22" ht="18.75" customHeight="1">
      <c r="A22" s="58"/>
      <c r="H22" s="59"/>
    </row>
    <row r="23" ht="18.75" customHeight="1">
      <c r="A23" s="58"/>
      <c r="H23" s="59"/>
    </row>
    <row r="24" ht="18.75" customHeight="1">
      <c r="A24" s="58"/>
      <c r="H24" s="59"/>
    </row>
    <row r="25" ht="18.75" customHeight="1">
      <c r="A25" s="58"/>
      <c r="H25" s="59"/>
    </row>
    <row r="26" ht="18.75" customHeight="1">
      <c r="A26" s="58"/>
      <c r="H26" s="59"/>
    </row>
    <row r="27" ht="18.75" customHeight="1">
      <c r="A27" s="58"/>
      <c r="H27" s="59"/>
    </row>
    <row r="28" ht="18.75" customHeight="1">
      <c r="A28" s="58"/>
      <c r="H28" s="59"/>
    </row>
    <row r="29" ht="18.75" customHeight="1">
      <c r="A29" s="58"/>
      <c r="H29" s="59"/>
    </row>
    <row r="30" ht="18.75" customHeight="1">
      <c r="A30" s="58"/>
      <c r="H30" s="59"/>
    </row>
    <row r="31" ht="18.75" customHeight="1">
      <c r="A31" s="60"/>
      <c r="B31" s="61"/>
      <c r="C31" s="61"/>
      <c r="D31" s="61"/>
      <c r="E31" s="61"/>
      <c r="F31" s="61"/>
      <c r="G31" s="61"/>
      <c r="H31" s="62"/>
    </row>
    <row r="32" ht="18.75" customHeight="1">
      <c r="A32" s="63" t="s">
        <v>177</v>
      </c>
      <c r="B32" s="56"/>
      <c r="C32" s="56"/>
      <c r="D32" s="56"/>
      <c r="E32" s="56"/>
      <c r="F32" s="56"/>
      <c r="G32" s="56"/>
      <c r="H32" s="57"/>
    </row>
    <row r="33" ht="18.75" customHeight="1">
      <c r="A33" s="58"/>
      <c r="H33" s="59"/>
    </row>
    <row r="34" ht="18.75" customHeight="1">
      <c r="A34" s="58"/>
      <c r="H34" s="59"/>
    </row>
    <row r="35" ht="18.75" customHeight="1">
      <c r="A35" s="60"/>
      <c r="B35" s="61"/>
      <c r="C35" s="61"/>
      <c r="D35" s="61"/>
      <c r="E35" s="61"/>
      <c r="F35" s="61"/>
      <c r="G35" s="61"/>
      <c r="H35" s="62"/>
    </row>
    <row r="36" ht="18.75" customHeight="1"/>
    <row r="37" ht="18.75" customHeight="1"/>
    <row r="38" ht="18.75" customHeight="1"/>
    <row r="39" ht="18.75" customHeight="1"/>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mergeCells count="17">
    <mergeCell ref="B10:B11"/>
    <mergeCell ref="C10:C11"/>
    <mergeCell ref="A12:A17"/>
    <mergeCell ref="B12:B17"/>
    <mergeCell ref="A19:H31"/>
    <mergeCell ref="A32:H35"/>
    <mergeCell ref="D10:D11"/>
    <mergeCell ref="E10:E11"/>
    <mergeCell ref="F10:G10"/>
    <mergeCell ref="H10:H11"/>
    <mergeCell ref="A2:C2"/>
    <mergeCell ref="E2:H2"/>
    <mergeCell ref="A3:C3"/>
    <mergeCell ref="E3:H3"/>
    <mergeCell ref="E4:H4"/>
    <mergeCell ref="A5:H5"/>
    <mergeCell ref="A10:A11"/>
  </mergeCells>
  <hyperlinks>
    <hyperlink display="Ấn để trở về sheet &quot; Danh mục&quot;" location="'DANH MỤC'!A1" ref="I5"/>
  </hyperlinks>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5.0"/>
    <col customWidth="1" min="2" max="2" width="14.0"/>
    <col customWidth="1" min="3" max="3" width="45.0"/>
    <col customWidth="1" min="4" max="4" width="33.0"/>
    <col customWidth="1" min="5" max="5" width="54.0"/>
    <col customWidth="1" min="6" max="7" width="9.0"/>
    <col customWidth="1" min="8" max="8" width="21.0"/>
    <col customWidth="1" min="9" max="9" width="42.0"/>
    <col customWidth="1" min="10" max="26" width="14.0"/>
  </cols>
  <sheetData>
    <row r="1" ht="21.0" customHeight="1">
      <c r="A1" s="19"/>
      <c r="B1" s="19"/>
      <c r="C1" s="20"/>
      <c r="D1" s="21"/>
      <c r="E1" s="21"/>
      <c r="F1" s="22"/>
      <c r="G1" s="21"/>
      <c r="H1" s="22"/>
    </row>
    <row r="2" ht="18.75" customHeight="1">
      <c r="A2" s="69" t="s">
        <v>111</v>
      </c>
      <c r="D2" s="70"/>
      <c r="E2" s="26" t="s">
        <v>112</v>
      </c>
    </row>
    <row r="3" ht="21.0" customHeight="1">
      <c r="A3" s="1"/>
      <c r="D3" s="70"/>
      <c r="E3" s="1" t="s">
        <v>113</v>
      </c>
    </row>
    <row r="4" ht="21.0" customHeight="1">
      <c r="A4" s="70"/>
      <c r="B4" s="70"/>
      <c r="C4" s="70"/>
      <c r="D4" s="70"/>
      <c r="E4" s="26" t="s">
        <v>114</v>
      </c>
    </row>
    <row r="5" ht="21.75" customHeight="1">
      <c r="A5" s="27" t="s">
        <v>115</v>
      </c>
      <c r="I5" s="28" t="s">
        <v>116</v>
      </c>
    </row>
    <row r="6" ht="21.75" customHeight="1">
      <c r="A6" s="29" t="s">
        <v>117</v>
      </c>
      <c r="B6" s="30"/>
      <c r="C6" s="31" t="str">
        <f>+'DANH MỤC'!A2</f>
        <v>Công trình:</v>
      </c>
      <c r="D6" s="32"/>
      <c r="E6" s="32"/>
      <c r="F6" s="32"/>
      <c r="G6" s="32"/>
      <c r="H6" s="32"/>
    </row>
    <row r="7" ht="21.75" customHeight="1">
      <c r="A7" s="29"/>
      <c r="B7" s="32"/>
      <c r="C7" s="33" t="str">
        <f>+'DANH MỤC'!A3</f>
        <v>Địa điểm:</v>
      </c>
      <c r="D7" s="32"/>
      <c r="E7" s="32"/>
      <c r="F7" s="32"/>
      <c r="G7" s="32"/>
      <c r="H7" s="32"/>
    </row>
    <row r="8" ht="21.75" customHeight="1">
      <c r="A8" s="29"/>
      <c r="B8" s="32"/>
      <c r="C8" s="33" t="str">
        <f>"Công tác"&amp;": "&amp;'DANH MỤC'!B37</f>
        <v>Công tác: Xây tường</v>
      </c>
      <c r="D8" s="32"/>
      <c r="E8" s="32"/>
      <c r="F8" s="32"/>
      <c r="G8" s="32"/>
      <c r="H8" s="32"/>
    </row>
    <row r="9" ht="21.75" customHeight="1">
      <c r="A9" s="34"/>
      <c r="B9" s="35"/>
      <c r="C9" s="36"/>
      <c r="D9" s="35"/>
      <c r="E9" s="35"/>
      <c r="F9" s="35"/>
      <c r="G9" s="35"/>
    </row>
    <row r="10" ht="21.75" customHeight="1">
      <c r="A10" s="37" t="s">
        <v>3</v>
      </c>
      <c r="B10" s="37" t="s">
        <v>118</v>
      </c>
      <c r="C10" s="38" t="s">
        <v>119</v>
      </c>
      <c r="D10" s="38" t="s">
        <v>120</v>
      </c>
      <c r="E10" s="38" t="s">
        <v>121</v>
      </c>
      <c r="F10" s="39" t="s">
        <v>122</v>
      </c>
      <c r="G10" s="40"/>
      <c r="H10" s="38" t="s">
        <v>123</v>
      </c>
    </row>
    <row r="11" ht="21.75" customHeight="1">
      <c r="A11" s="41"/>
      <c r="B11" s="41"/>
      <c r="C11" s="41"/>
      <c r="D11" s="41"/>
      <c r="E11" s="41"/>
      <c r="F11" s="42" t="s">
        <v>124</v>
      </c>
      <c r="G11" s="42" t="s">
        <v>125</v>
      </c>
      <c r="H11" s="41"/>
    </row>
    <row r="12" ht="45.75" customHeight="1">
      <c r="A12" s="109"/>
      <c r="B12" s="110"/>
      <c r="C12" s="81" t="s">
        <v>505</v>
      </c>
      <c r="D12" s="75" t="s">
        <v>506</v>
      </c>
      <c r="E12" s="75" t="s">
        <v>507</v>
      </c>
      <c r="F12" s="107"/>
      <c r="G12" s="107"/>
      <c r="H12" s="80"/>
    </row>
    <row r="13" ht="87.75" customHeight="1">
      <c r="A13" s="48"/>
      <c r="B13" s="48"/>
      <c r="C13" s="81" t="s">
        <v>508</v>
      </c>
      <c r="D13" s="75" t="s">
        <v>509</v>
      </c>
      <c r="E13" s="75" t="s">
        <v>510</v>
      </c>
      <c r="F13" s="107"/>
      <c r="G13" s="107"/>
      <c r="H13" s="80"/>
    </row>
    <row r="14" ht="45.75" customHeight="1">
      <c r="A14" s="48"/>
      <c r="B14" s="48"/>
      <c r="C14" s="81" t="s">
        <v>511</v>
      </c>
      <c r="D14" s="75" t="s">
        <v>132</v>
      </c>
      <c r="E14" s="75" t="s">
        <v>512</v>
      </c>
      <c r="F14" s="107"/>
      <c r="G14" s="107"/>
      <c r="H14" s="80" t="s">
        <v>513</v>
      </c>
    </row>
    <row r="15" ht="48.0" customHeight="1">
      <c r="A15" s="48"/>
      <c r="B15" s="48"/>
      <c r="C15" s="81" t="s">
        <v>514</v>
      </c>
      <c r="D15" s="75" t="s">
        <v>509</v>
      </c>
      <c r="E15" s="75" t="s">
        <v>512</v>
      </c>
      <c r="F15" s="107"/>
      <c r="G15" s="107"/>
      <c r="H15" s="80" t="s">
        <v>513</v>
      </c>
    </row>
    <row r="16" ht="208.5" customHeight="1">
      <c r="A16" s="48"/>
      <c r="B16" s="48"/>
      <c r="C16" s="81" t="s">
        <v>515</v>
      </c>
      <c r="D16" s="75" t="s">
        <v>509</v>
      </c>
      <c r="E16" s="75" t="s">
        <v>516</v>
      </c>
      <c r="F16" s="107"/>
      <c r="G16" s="107"/>
      <c r="H16" s="80" t="s">
        <v>513</v>
      </c>
    </row>
    <row r="17" ht="234.0" customHeight="1">
      <c r="A17" s="48"/>
      <c r="B17" s="48"/>
      <c r="C17" s="81" t="s">
        <v>517</v>
      </c>
      <c r="D17" s="75" t="s">
        <v>509</v>
      </c>
      <c r="E17" s="75" t="s">
        <v>518</v>
      </c>
      <c r="F17" s="107"/>
      <c r="G17" s="107"/>
      <c r="H17" s="80" t="s">
        <v>513</v>
      </c>
    </row>
    <row r="18" ht="57.0" customHeight="1">
      <c r="A18" s="48"/>
      <c r="B18" s="48"/>
      <c r="C18" s="81" t="s">
        <v>519</v>
      </c>
      <c r="D18" s="75" t="s">
        <v>509</v>
      </c>
      <c r="E18" s="75" t="s">
        <v>520</v>
      </c>
      <c r="F18" s="107"/>
      <c r="G18" s="107"/>
      <c r="H18" s="80" t="s">
        <v>513</v>
      </c>
    </row>
    <row r="19" ht="84.75" customHeight="1">
      <c r="A19" s="48"/>
      <c r="B19" s="48"/>
      <c r="C19" s="81" t="s">
        <v>521</v>
      </c>
      <c r="D19" s="75" t="s">
        <v>509</v>
      </c>
      <c r="E19" s="75" t="s">
        <v>522</v>
      </c>
      <c r="F19" s="107"/>
      <c r="G19" s="107"/>
      <c r="H19" s="80" t="s">
        <v>513</v>
      </c>
    </row>
    <row r="20" ht="72.75" customHeight="1">
      <c r="A20" s="48"/>
      <c r="B20" s="48"/>
      <c r="C20" s="81" t="s">
        <v>523</v>
      </c>
      <c r="D20" s="75" t="s">
        <v>524</v>
      </c>
      <c r="E20" s="75" t="s">
        <v>525</v>
      </c>
      <c r="F20" s="107"/>
      <c r="G20" s="107"/>
      <c r="H20" s="80" t="s">
        <v>513</v>
      </c>
    </row>
    <row r="21" ht="57.0" customHeight="1">
      <c r="A21" s="48"/>
      <c r="B21" s="48"/>
      <c r="C21" s="81" t="s">
        <v>526</v>
      </c>
      <c r="D21" s="75" t="s">
        <v>509</v>
      </c>
      <c r="E21" s="75" t="s">
        <v>512</v>
      </c>
      <c r="F21" s="107"/>
      <c r="G21" s="107"/>
      <c r="H21" s="80" t="s">
        <v>513</v>
      </c>
    </row>
    <row r="22" ht="72.75" customHeight="1">
      <c r="A22" s="41"/>
      <c r="B22" s="41"/>
      <c r="C22" s="81" t="s">
        <v>527</v>
      </c>
      <c r="D22" s="75" t="s">
        <v>528</v>
      </c>
      <c r="E22" s="75" t="s">
        <v>529</v>
      </c>
      <c r="F22" s="107"/>
      <c r="G22" s="107"/>
      <c r="H22" s="80"/>
    </row>
    <row r="23" ht="21.0" customHeight="1">
      <c r="A23" s="52"/>
      <c r="B23" s="52" t="s">
        <v>175</v>
      </c>
      <c r="C23" s="53"/>
      <c r="D23" s="52"/>
      <c r="E23" s="52"/>
      <c r="F23" s="54"/>
      <c r="G23" s="52"/>
      <c r="H23" s="54"/>
    </row>
    <row r="24" ht="21.0" customHeight="1">
      <c r="A24" s="55" t="s">
        <v>176</v>
      </c>
      <c r="B24" s="56"/>
      <c r="C24" s="56"/>
      <c r="D24" s="56"/>
      <c r="E24" s="56"/>
      <c r="F24" s="56"/>
      <c r="G24" s="56"/>
      <c r="H24" s="57"/>
    </row>
    <row r="25" ht="18.75" customHeight="1">
      <c r="A25" s="58"/>
      <c r="H25" s="59"/>
    </row>
    <row r="26" ht="18.75" customHeight="1">
      <c r="A26" s="58"/>
      <c r="H26" s="59"/>
    </row>
    <row r="27" ht="18.75" customHeight="1">
      <c r="A27" s="58"/>
      <c r="H27" s="59"/>
    </row>
    <row r="28" ht="18.75" customHeight="1">
      <c r="A28" s="58"/>
      <c r="H28" s="59"/>
    </row>
    <row r="29" ht="18.75" customHeight="1">
      <c r="A29" s="58"/>
      <c r="H29" s="59"/>
    </row>
    <row r="30" ht="18.75" customHeight="1">
      <c r="A30" s="58"/>
      <c r="H30" s="59"/>
    </row>
    <row r="31" ht="18.75" customHeight="1">
      <c r="A31" s="58"/>
      <c r="H31" s="59"/>
    </row>
    <row r="32" ht="18.75" customHeight="1">
      <c r="A32" s="58"/>
      <c r="H32" s="59"/>
    </row>
    <row r="33" ht="18.75" customHeight="1">
      <c r="A33" s="58"/>
      <c r="H33" s="59"/>
    </row>
    <row r="34" ht="18.75" customHeight="1">
      <c r="A34" s="58"/>
      <c r="H34" s="59"/>
    </row>
    <row r="35" ht="18.75" customHeight="1">
      <c r="A35" s="58"/>
      <c r="H35" s="59"/>
    </row>
    <row r="36" ht="18.75" customHeight="1">
      <c r="A36" s="60"/>
      <c r="B36" s="61"/>
      <c r="C36" s="61"/>
      <c r="D36" s="61"/>
      <c r="E36" s="61"/>
      <c r="F36" s="61"/>
      <c r="G36" s="61"/>
      <c r="H36" s="62"/>
    </row>
    <row r="37" ht="18.75" customHeight="1">
      <c r="A37" s="63" t="s">
        <v>177</v>
      </c>
      <c r="B37" s="56"/>
      <c r="C37" s="56"/>
      <c r="D37" s="56"/>
      <c r="E37" s="56"/>
      <c r="F37" s="56"/>
      <c r="G37" s="56"/>
      <c r="H37" s="57"/>
    </row>
    <row r="38" ht="18.75" customHeight="1">
      <c r="A38" s="58"/>
      <c r="H38" s="59"/>
    </row>
    <row r="39" ht="18.75" customHeight="1">
      <c r="A39" s="58"/>
      <c r="H39" s="59"/>
    </row>
    <row r="40" ht="18.75" customHeight="1">
      <c r="A40" s="60"/>
      <c r="B40" s="61"/>
      <c r="C40" s="61"/>
      <c r="D40" s="61"/>
      <c r="E40" s="61"/>
      <c r="F40" s="61"/>
      <c r="G40" s="61"/>
      <c r="H40" s="62"/>
    </row>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mergeCells count="17">
    <mergeCell ref="B10:B11"/>
    <mergeCell ref="C10:C11"/>
    <mergeCell ref="A12:A22"/>
    <mergeCell ref="B12:B22"/>
    <mergeCell ref="A24:H36"/>
    <mergeCell ref="A37:H40"/>
    <mergeCell ref="D10:D11"/>
    <mergeCell ref="E10:E11"/>
    <mergeCell ref="F10:G10"/>
    <mergeCell ref="H10:H11"/>
    <mergeCell ref="A2:C2"/>
    <mergeCell ref="E2:H2"/>
    <mergeCell ref="A3:C3"/>
    <mergeCell ref="E3:H3"/>
    <mergeCell ref="E4:H4"/>
    <mergeCell ref="A5:H5"/>
    <mergeCell ref="A10:A11"/>
  </mergeCells>
  <hyperlinks>
    <hyperlink display="Ấn để trở về sheet &quot; Danh mục&quot;" location="'DANH MỤC'!A1" ref="I5"/>
  </hyperlinks>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5.0"/>
    <col customWidth="1" min="2" max="2" width="14.0"/>
    <col customWidth="1" min="3" max="3" width="45.0"/>
    <col customWidth="1" min="4" max="4" width="40.0"/>
    <col customWidth="1" min="5" max="5" width="52.0"/>
    <col customWidth="1" min="6" max="7" width="9.0"/>
    <col customWidth="1" min="8" max="8" width="21.0"/>
    <col customWidth="1" min="9" max="9" width="41.0"/>
    <col customWidth="1" min="10" max="26" width="14.0"/>
  </cols>
  <sheetData>
    <row r="1" ht="21.0" customHeight="1">
      <c r="A1" s="19"/>
      <c r="B1" s="19"/>
      <c r="C1" s="20"/>
      <c r="D1" s="21"/>
      <c r="E1" s="21"/>
      <c r="F1" s="22"/>
      <c r="G1" s="21"/>
      <c r="H1" s="22"/>
    </row>
    <row r="2" ht="18.75" customHeight="1">
      <c r="A2" s="69" t="s">
        <v>111</v>
      </c>
      <c r="D2" s="70"/>
      <c r="E2" s="26" t="s">
        <v>112</v>
      </c>
    </row>
    <row r="3" ht="21.0" customHeight="1">
      <c r="A3" s="1"/>
      <c r="D3" s="70"/>
      <c r="E3" s="1" t="s">
        <v>113</v>
      </c>
    </row>
    <row r="4" ht="21.0" customHeight="1">
      <c r="A4" s="70"/>
      <c r="B4" s="70"/>
      <c r="C4" s="70"/>
      <c r="D4" s="70"/>
      <c r="E4" s="26" t="s">
        <v>114</v>
      </c>
    </row>
    <row r="5" ht="21.75" customHeight="1">
      <c r="A5" s="27" t="s">
        <v>115</v>
      </c>
      <c r="I5" s="28" t="s">
        <v>116</v>
      </c>
    </row>
    <row r="6" ht="21.75" customHeight="1">
      <c r="A6" s="29" t="s">
        <v>117</v>
      </c>
      <c r="B6" s="30"/>
      <c r="C6" s="31" t="str">
        <f>+'DANH MỤC'!A2</f>
        <v>Công trình:</v>
      </c>
      <c r="D6" s="32"/>
      <c r="E6" s="32"/>
      <c r="F6" s="32"/>
      <c r="G6" s="32"/>
      <c r="H6" s="32"/>
    </row>
    <row r="7" ht="21.75" customHeight="1">
      <c r="A7" s="29"/>
      <c r="B7" s="32"/>
      <c r="C7" s="33" t="str">
        <f>+'DANH MỤC'!A3</f>
        <v>Địa điểm:</v>
      </c>
      <c r="D7" s="32"/>
      <c r="E7" s="32"/>
      <c r="F7" s="32"/>
      <c r="G7" s="32"/>
      <c r="H7" s="32"/>
    </row>
    <row r="8" ht="21.75" customHeight="1">
      <c r="A8" s="29"/>
      <c r="B8" s="32"/>
      <c r="C8" s="33" t="str">
        <f>"Công tác"&amp;": "&amp;'DANH MỤC'!B38</f>
        <v>Công tác: Lanh tô, trụ tường</v>
      </c>
      <c r="D8" s="32"/>
      <c r="E8" s="32"/>
      <c r="F8" s="32"/>
      <c r="G8" s="32"/>
      <c r="H8" s="32"/>
    </row>
    <row r="9" ht="21.75" customHeight="1">
      <c r="A9" s="34"/>
      <c r="B9" s="35"/>
      <c r="C9" s="36"/>
      <c r="D9" s="35"/>
      <c r="E9" s="35"/>
      <c r="F9" s="35"/>
      <c r="G9" s="35"/>
    </row>
    <row r="10" ht="21.75" customHeight="1">
      <c r="A10" s="37" t="s">
        <v>3</v>
      </c>
      <c r="B10" s="37" t="s">
        <v>118</v>
      </c>
      <c r="C10" s="38" t="s">
        <v>119</v>
      </c>
      <c r="D10" s="38" t="s">
        <v>120</v>
      </c>
      <c r="E10" s="38" t="s">
        <v>121</v>
      </c>
      <c r="F10" s="39" t="s">
        <v>122</v>
      </c>
      <c r="G10" s="40"/>
      <c r="H10" s="38" t="s">
        <v>123</v>
      </c>
    </row>
    <row r="11" ht="21.75" customHeight="1">
      <c r="A11" s="41"/>
      <c r="B11" s="41"/>
      <c r="C11" s="41"/>
      <c r="D11" s="41"/>
      <c r="E11" s="41"/>
      <c r="F11" s="42" t="s">
        <v>124</v>
      </c>
      <c r="G11" s="42" t="s">
        <v>125</v>
      </c>
      <c r="H11" s="41"/>
    </row>
    <row r="12" ht="51.0" customHeight="1">
      <c r="A12" s="109"/>
      <c r="B12" s="110"/>
      <c r="C12" s="81" t="s">
        <v>530</v>
      </c>
      <c r="D12" s="75" t="s">
        <v>531</v>
      </c>
      <c r="E12" s="75" t="s">
        <v>532</v>
      </c>
      <c r="F12" s="107"/>
      <c r="G12" s="107"/>
      <c r="H12" s="75"/>
    </row>
    <row r="13" ht="54.75" customHeight="1">
      <c r="A13" s="48"/>
      <c r="B13" s="48"/>
      <c r="C13" s="81" t="s">
        <v>533</v>
      </c>
      <c r="D13" s="75" t="s">
        <v>534</v>
      </c>
      <c r="E13" s="75" t="s">
        <v>133</v>
      </c>
      <c r="F13" s="107"/>
      <c r="G13" s="107"/>
      <c r="H13" s="75" t="s">
        <v>535</v>
      </c>
    </row>
    <row r="14" ht="90.0" customHeight="1">
      <c r="A14" s="48"/>
      <c r="B14" s="48"/>
      <c r="C14" s="81" t="s">
        <v>536</v>
      </c>
      <c r="D14" s="75" t="s">
        <v>506</v>
      </c>
      <c r="E14" s="75" t="s">
        <v>537</v>
      </c>
      <c r="F14" s="107"/>
      <c r="G14" s="107"/>
      <c r="H14" s="80" t="s">
        <v>319</v>
      </c>
    </row>
    <row r="15" ht="111.0" customHeight="1">
      <c r="A15" s="48"/>
      <c r="B15" s="48"/>
      <c r="C15" s="81" t="s">
        <v>538</v>
      </c>
      <c r="D15" s="75" t="s">
        <v>509</v>
      </c>
      <c r="E15" s="75" t="s">
        <v>539</v>
      </c>
      <c r="F15" s="107"/>
      <c r="G15" s="107"/>
      <c r="H15" s="80" t="s">
        <v>319</v>
      </c>
    </row>
    <row r="16" ht="39.75" customHeight="1">
      <c r="A16" s="48"/>
      <c r="B16" s="48"/>
      <c r="C16" s="81" t="s">
        <v>540</v>
      </c>
      <c r="D16" s="75" t="s">
        <v>509</v>
      </c>
      <c r="E16" s="111" t="s">
        <v>541</v>
      </c>
      <c r="F16" s="107"/>
      <c r="G16" s="107"/>
      <c r="H16" s="80"/>
    </row>
    <row r="17" ht="94.5" customHeight="1">
      <c r="A17" s="48"/>
      <c r="B17" s="48"/>
      <c r="C17" s="81" t="s">
        <v>542</v>
      </c>
      <c r="D17" s="75" t="s">
        <v>543</v>
      </c>
      <c r="E17" s="75" t="s">
        <v>544</v>
      </c>
      <c r="F17" s="107"/>
      <c r="G17" s="107"/>
      <c r="H17" s="80" t="s">
        <v>545</v>
      </c>
    </row>
    <row r="18" ht="67.5" customHeight="1">
      <c r="A18" s="48"/>
      <c r="B18" s="48"/>
      <c r="C18" s="81" t="s">
        <v>546</v>
      </c>
      <c r="D18" s="75" t="s">
        <v>509</v>
      </c>
      <c r="E18" s="75" t="s">
        <v>133</v>
      </c>
      <c r="F18" s="107"/>
      <c r="G18" s="107"/>
      <c r="H18" s="80" t="s">
        <v>319</v>
      </c>
    </row>
    <row r="19" ht="228.0" customHeight="1">
      <c r="A19" s="41"/>
      <c r="B19" s="41"/>
      <c r="C19" s="81" t="s">
        <v>547</v>
      </c>
      <c r="D19" s="75" t="s">
        <v>548</v>
      </c>
      <c r="E19" s="75" t="s">
        <v>410</v>
      </c>
      <c r="F19" s="107"/>
      <c r="G19" s="107"/>
      <c r="H19" s="80" t="s">
        <v>319</v>
      </c>
    </row>
    <row r="20" ht="21.0" customHeight="1">
      <c r="A20" s="52"/>
      <c r="B20" s="52" t="s">
        <v>175</v>
      </c>
      <c r="C20" s="53"/>
      <c r="D20" s="52"/>
      <c r="E20" s="52"/>
      <c r="F20" s="54"/>
      <c r="G20" s="52"/>
      <c r="H20" s="54"/>
    </row>
    <row r="21" ht="21.0" customHeight="1">
      <c r="A21" s="55" t="s">
        <v>176</v>
      </c>
      <c r="B21" s="56"/>
      <c r="C21" s="56"/>
      <c r="D21" s="56"/>
      <c r="E21" s="56"/>
      <c r="F21" s="56"/>
      <c r="G21" s="56"/>
      <c r="H21" s="57"/>
    </row>
    <row r="22" ht="18.75" customHeight="1">
      <c r="A22" s="58"/>
      <c r="H22" s="59"/>
    </row>
    <row r="23" ht="18.75" customHeight="1">
      <c r="A23" s="58"/>
      <c r="H23" s="59"/>
    </row>
    <row r="24" ht="18.75" customHeight="1">
      <c r="A24" s="58"/>
      <c r="H24" s="59"/>
    </row>
    <row r="25" ht="18.75" customHeight="1">
      <c r="A25" s="58"/>
      <c r="H25" s="59"/>
    </row>
    <row r="26" ht="18.75" customHeight="1">
      <c r="A26" s="58"/>
      <c r="H26" s="59"/>
    </row>
    <row r="27" ht="18.75" customHeight="1">
      <c r="A27" s="58"/>
      <c r="H27" s="59"/>
    </row>
    <row r="28" ht="18.75" customHeight="1">
      <c r="A28" s="58"/>
      <c r="H28" s="59"/>
    </row>
    <row r="29" ht="18.75" customHeight="1">
      <c r="A29" s="58"/>
      <c r="H29" s="59"/>
    </row>
    <row r="30" ht="18.75" customHeight="1">
      <c r="A30" s="58"/>
      <c r="H30" s="59"/>
    </row>
    <row r="31" ht="18.75" customHeight="1">
      <c r="A31" s="58"/>
      <c r="H31" s="59"/>
    </row>
    <row r="32" ht="18.75" customHeight="1">
      <c r="A32" s="58"/>
      <c r="H32" s="59"/>
    </row>
    <row r="33" ht="18.75" customHeight="1">
      <c r="A33" s="60"/>
      <c r="B33" s="61"/>
      <c r="C33" s="61"/>
      <c r="D33" s="61"/>
      <c r="E33" s="61"/>
      <c r="F33" s="61"/>
      <c r="G33" s="61"/>
      <c r="H33" s="62"/>
    </row>
    <row r="34" ht="18.75" customHeight="1">
      <c r="A34" s="63" t="s">
        <v>177</v>
      </c>
      <c r="B34" s="56"/>
      <c r="C34" s="56"/>
      <c r="D34" s="56"/>
      <c r="E34" s="56"/>
      <c r="F34" s="56"/>
      <c r="G34" s="56"/>
      <c r="H34" s="57"/>
    </row>
    <row r="35" ht="18.75" customHeight="1">
      <c r="A35" s="58"/>
      <c r="H35" s="59"/>
    </row>
    <row r="36" ht="18.75" customHeight="1">
      <c r="A36" s="58"/>
      <c r="H36" s="59"/>
    </row>
    <row r="37" ht="18.75" customHeight="1">
      <c r="A37" s="60"/>
      <c r="B37" s="61"/>
      <c r="C37" s="61"/>
      <c r="D37" s="61"/>
      <c r="E37" s="61"/>
      <c r="F37" s="61"/>
      <c r="G37" s="61"/>
      <c r="H37" s="62"/>
    </row>
    <row r="38" ht="18.75" customHeight="1"/>
    <row r="39" ht="18.75" customHeight="1"/>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mergeCells count="17">
    <mergeCell ref="B10:B11"/>
    <mergeCell ref="C10:C11"/>
    <mergeCell ref="A12:A19"/>
    <mergeCell ref="B12:B19"/>
    <mergeCell ref="A21:H33"/>
    <mergeCell ref="A34:H37"/>
    <mergeCell ref="D10:D11"/>
    <mergeCell ref="E10:E11"/>
    <mergeCell ref="F10:G10"/>
    <mergeCell ref="H10:H11"/>
    <mergeCell ref="A2:C2"/>
    <mergeCell ref="E2:H2"/>
    <mergeCell ref="A3:C3"/>
    <mergeCell ref="E3:H3"/>
    <mergeCell ref="E4:H4"/>
    <mergeCell ref="A5:H5"/>
    <mergeCell ref="A10:A11"/>
  </mergeCells>
  <hyperlinks>
    <hyperlink display="Ấn để trở về sheet &quot; Danh mục&quot;" location="'DANH MỤC'!A1" ref="I5"/>
  </hyperlinks>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5.0"/>
    <col customWidth="1" min="2" max="2" width="14.0"/>
    <col customWidth="1" min="3" max="3" width="47.0"/>
    <col customWidth="1" min="4" max="4" width="23.0"/>
    <col customWidth="1" min="5" max="5" width="50.0"/>
    <col customWidth="1" min="6" max="7" width="9.0"/>
    <col customWidth="1" min="8" max="8" width="21.0"/>
    <col customWidth="1" min="9" max="9" width="43.0"/>
    <col customWidth="1" min="10" max="26" width="14.0"/>
  </cols>
  <sheetData>
    <row r="1" ht="21.0" customHeight="1">
      <c r="A1" s="19"/>
      <c r="B1" s="19"/>
      <c r="C1" s="20"/>
      <c r="D1" s="21"/>
      <c r="E1" s="21"/>
      <c r="F1" s="22"/>
      <c r="G1" s="21"/>
      <c r="H1" s="22"/>
    </row>
    <row r="2" ht="18.75" customHeight="1">
      <c r="A2" s="69" t="s">
        <v>111</v>
      </c>
      <c r="D2" s="70"/>
      <c r="E2" s="26" t="s">
        <v>112</v>
      </c>
    </row>
    <row r="3" ht="21.0" customHeight="1">
      <c r="A3" s="1"/>
      <c r="D3" s="70"/>
      <c r="E3" s="1" t="s">
        <v>113</v>
      </c>
    </row>
    <row r="4" ht="21.0" customHeight="1">
      <c r="A4" s="70"/>
      <c r="B4" s="70"/>
      <c r="C4" s="70"/>
      <c r="D4" s="70"/>
      <c r="E4" s="26" t="s">
        <v>114</v>
      </c>
    </row>
    <row r="5" ht="21.75" customHeight="1">
      <c r="A5" s="27" t="s">
        <v>115</v>
      </c>
      <c r="I5" s="28" t="s">
        <v>116</v>
      </c>
    </row>
    <row r="6" ht="21.75" customHeight="1">
      <c r="A6" s="29" t="s">
        <v>117</v>
      </c>
      <c r="B6" s="30"/>
      <c r="C6" s="31" t="str">
        <f>+'DANH MỤC'!A2</f>
        <v>Công trình:</v>
      </c>
      <c r="D6" s="32"/>
      <c r="E6" s="32"/>
      <c r="F6" s="32"/>
      <c r="G6" s="32"/>
      <c r="H6" s="32"/>
    </row>
    <row r="7" ht="21.75" customHeight="1">
      <c r="A7" s="29"/>
      <c r="B7" s="32"/>
      <c r="C7" s="33" t="str">
        <f>+'DANH MỤC'!A3</f>
        <v>Địa điểm:</v>
      </c>
      <c r="D7" s="32"/>
      <c r="E7" s="32"/>
      <c r="F7" s="32"/>
      <c r="G7" s="32"/>
      <c r="H7" s="32"/>
    </row>
    <row r="8" ht="21.75" customHeight="1">
      <c r="A8" s="29"/>
      <c r="B8" s="32"/>
      <c r="C8" s="33" t="str">
        <f>"Công tác"&amp;": "&amp;'DANH MỤC'!B39</f>
        <v>Công tác: Tô/Trát</v>
      </c>
      <c r="D8" s="32"/>
      <c r="E8" s="32"/>
      <c r="F8" s="32"/>
      <c r="G8" s="32"/>
      <c r="H8" s="32"/>
    </row>
    <row r="9" ht="21.75" customHeight="1">
      <c r="A9" s="34"/>
      <c r="B9" s="35"/>
      <c r="C9" s="36"/>
      <c r="D9" s="35"/>
      <c r="E9" s="35"/>
      <c r="F9" s="35"/>
      <c r="G9" s="35"/>
    </row>
    <row r="10" ht="21.75" customHeight="1">
      <c r="A10" s="37" t="s">
        <v>3</v>
      </c>
      <c r="B10" s="37" t="s">
        <v>118</v>
      </c>
      <c r="C10" s="38" t="s">
        <v>119</v>
      </c>
      <c r="D10" s="38" t="s">
        <v>120</v>
      </c>
      <c r="E10" s="38" t="s">
        <v>121</v>
      </c>
      <c r="F10" s="39" t="s">
        <v>122</v>
      </c>
      <c r="G10" s="40"/>
      <c r="H10" s="38" t="s">
        <v>123</v>
      </c>
    </row>
    <row r="11" ht="21.75" customHeight="1">
      <c r="A11" s="41"/>
      <c r="B11" s="41"/>
      <c r="C11" s="41"/>
      <c r="D11" s="41"/>
      <c r="E11" s="41"/>
      <c r="F11" s="42" t="s">
        <v>124</v>
      </c>
      <c r="G11" s="42" t="s">
        <v>125</v>
      </c>
      <c r="H11" s="41"/>
    </row>
    <row r="12" ht="42.0" customHeight="1">
      <c r="A12" s="109"/>
      <c r="B12" s="110" t="s">
        <v>549</v>
      </c>
      <c r="C12" s="81" t="s">
        <v>550</v>
      </c>
      <c r="D12" s="75" t="s">
        <v>551</v>
      </c>
      <c r="E12" s="75" t="s">
        <v>507</v>
      </c>
      <c r="F12" s="107"/>
      <c r="G12" s="107"/>
      <c r="H12" s="80"/>
    </row>
    <row r="13" ht="42.75" customHeight="1">
      <c r="A13" s="48"/>
      <c r="B13" s="48"/>
      <c r="C13" s="81" t="s">
        <v>552</v>
      </c>
      <c r="D13" s="75" t="s">
        <v>551</v>
      </c>
      <c r="E13" s="75" t="s">
        <v>507</v>
      </c>
      <c r="F13" s="107"/>
      <c r="G13" s="107"/>
      <c r="H13" s="80"/>
    </row>
    <row r="14" ht="54.75" customHeight="1">
      <c r="A14" s="48"/>
      <c r="B14" s="48"/>
      <c r="C14" s="81" t="s">
        <v>553</v>
      </c>
      <c r="D14" s="75" t="s">
        <v>554</v>
      </c>
      <c r="E14" s="75" t="s">
        <v>555</v>
      </c>
      <c r="F14" s="107"/>
      <c r="G14" s="107"/>
      <c r="H14" s="80"/>
    </row>
    <row r="15" ht="51.0" customHeight="1">
      <c r="A15" s="48"/>
      <c r="B15" s="48"/>
      <c r="C15" s="81" t="s">
        <v>556</v>
      </c>
      <c r="D15" s="75" t="s">
        <v>554</v>
      </c>
      <c r="E15" s="75" t="s">
        <v>557</v>
      </c>
      <c r="F15" s="107"/>
      <c r="G15" s="107"/>
      <c r="H15" s="80"/>
    </row>
    <row r="16" ht="72.75" customHeight="1">
      <c r="A16" s="48"/>
      <c r="B16" s="48"/>
      <c r="C16" s="81" t="s">
        <v>558</v>
      </c>
      <c r="D16" s="75" t="s">
        <v>559</v>
      </c>
      <c r="E16" s="75" t="s">
        <v>560</v>
      </c>
      <c r="F16" s="107"/>
      <c r="G16" s="107"/>
      <c r="H16" s="80" t="s">
        <v>513</v>
      </c>
    </row>
    <row r="17" ht="51.0" customHeight="1">
      <c r="A17" s="48"/>
      <c r="B17" s="48"/>
      <c r="C17" s="81" t="s">
        <v>561</v>
      </c>
      <c r="D17" s="75" t="s">
        <v>509</v>
      </c>
      <c r="E17" s="75" t="s">
        <v>133</v>
      </c>
      <c r="F17" s="107"/>
      <c r="G17" s="107"/>
      <c r="H17" s="80" t="s">
        <v>513</v>
      </c>
    </row>
    <row r="18" ht="120.0" customHeight="1">
      <c r="A18" s="48"/>
      <c r="B18" s="48"/>
      <c r="C18" s="81" t="s">
        <v>562</v>
      </c>
      <c r="D18" s="75" t="s">
        <v>509</v>
      </c>
      <c r="E18" s="75" t="s">
        <v>563</v>
      </c>
      <c r="F18" s="107"/>
      <c r="G18" s="107"/>
      <c r="H18" s="80" t="s">
        <v>513</v>
      </c>
    </row>
    <row r="19" ht="54.75" customHeight="1">
      <c r="A19" s="48"/>
      <c r="B19" s="48"/>
      <c r="C19" s="81" t="s">
        <v>564</v>
      </c>
      <c r="D19" s="75" t="s">
        <v>554</v>
      </c>
      <c r="E19" s="75" t="s">
        <v>565</v>
      </c>
      <c r="F19" s="107"/>
      <c r="G19" s="107"/>
      <c r="H19" s="80" t="s">
        <v>513</v>
      </c>
    </row>
    <row r="20" ht="186.0" customHeight="1">
      <c r="A20" s="48"/>
      <c r="B20" s="48"/>
      <c r="C20" s="81" t="s">
        <v>566</v>
      </c>
      <c r="D20" s="75" t="s">
        <v>567</v>
      </c>
      <c r="E20" s="105" t="s">
        <v>568</v>
      </c>
      <c r="F20" s="107"/>
      <c r="G20" s="107"/>
      <c r="H20" s="80" t="s">
        <v>513</v>
      </c>
    </row>
    <row r="21" ht="54.75" customHeight="1">
      <c r="A21" s="48"/>
      <c r="B21" s="48"/>
      <c r="C21" s="112" t="s">
        <v>569</v>
      </c>
      <c r="D21" s="75" t="s">
        <v>570</v>
      </c>
      <c r="E21" s="75" t="s">
        <v>571</v>
      </c>
      <c r="F21" s="107"/>
      <c r="G21" s="107"/>
      <c r="H21" s="80"/>
    </row>
    <row r="22" ht="58.5" customHeight="1">
      <c r="A22" s="41"/>
      <c r="B22" s="41"/>
      <c r="C22" s="113" t="s">
        <v>572</v>
      </c>
      <c r="D22" s="75" t="s">
        <v>528</v>
      </c>
      <c r="E22" s="75" t="s">
        <v>573</v>
      </c>
      <c r="F22" s="107"/>
      <c r="G22" s="107"/>
      <c r="H22" s="80" t="s">
        <v>513</v>
      </c>
    </row>
    <row r="23" ht="21.0" customHeight="1">
      <c r="A23" s="52"/>
      <c r="B23" s="52" t="s">
        <v>175</v>
      </c>
      <c r="C23" s="53"/>
      <c r="D23" s="52"/>
      <c r="E23" s="52"/>
      <c r="F23" s="54"/>
      <c r="G23" s="52"/>
      <c r="H23" s="54"/>
    </row>
    <row r="24" ht="21.0" customHeight="1">
      <c r="A24" s="55" t="s">
        <v>176</v>
      </c>
      <c r="B24" s="56"/>
      <c r="C24" s="56"/>
      <c r="D24" s="56"/>
      <c r="E24" s="56"/>
      <c r="F24" s="56"/>
      <c r="G24" s="56"/>
      <c r="H24" s="57"/>
    </row>
    <row r="25" ht="18.75" customHeight="1">
      <c r="A25" s="58"/>
      <c r="H25" s="59"/>
    </row>
    <row r="26" ht="18.75" customHeight="1">
      <c r="A26" s="58"/>
      <c r="H26" s="59"/>
    </row>
    <row r="27" ht="18.75" customHeight="1">
      <c r="A27" s="58"/>
      <c r="H27" s="59"/>
    </row>
    <row r="28" ht="18.75" customHeight="1">
      <c r="A28" s="58"/>
      <c r="H28" s="59"/>
    </row>
    <row r="29" ht="18.75" customHeight="1">
      <c r="A29" s="58"/>
      <c r="H29" s="59"/>
    </row>
    <row r="30" ht="18.75" customHeight="1">
      <c r="A30" s="58"/>
      <c r="H30" s="59"/>
    </row>
    <row r="31" ht="18.75" customHeight="1">
      <c r="A31" s="58"/>
      <c r="H31" s="59"/>
    </row>
    <row r="32" ht="18.75" customHeight="1">
      <c r="A32" s="58"/>
      <c r="H32" s="59"/>
    </row>
    <row r="33" ht="18.75" customHeight="1">
      <c r="A33" s="58"/>
      <c r="H33" s="59"/>
    </row>
    <row r="34" ht="18.75" customHeight="1">
      <c r="A34" s="58"/>
      <c r="H34" s="59"/>
    </row>
    <row r="35" ht="18.75" customHeight="1">
      <c r="A35" s="58"/>
      <c r="H35" s="59"/>
    </row>
    <row r="36" ht="18.75" customHeight="1">
      <c r="A36" s="60"/>
      <c r="B36" s="61"/>
      <c r="C36" s="61"/>
      <c r="D36" s="61"/>
      <c r="E36" s="61"/>
      <c r="F36" s="61"/>
      <c r="G36" s="61"/>
      <c r="H36" s="62"/>
    </row>
    <row r="37" ht="18.75" customHeight="1">
      <c r="A37" s="63" t="s">
        <v>177</v>
      </c>
      <c r="B37" s="56"/>
      <c r="C37" s="56"/>
      <c r="D37" s="56"/>
      <c r="E37" s="56"/>
      <c r="F37" s="56"/>
      <c r="G37" s="56"/>
      <c r="H37" s="57"/>
    </row>
    <row r="38" ht="18.75" customHeight="1">
      <c r="A38" s="58"/>
      <c r="H38" s="59"/>
    </row>
    <row r="39" ht="18.75" customHeight="1">
      <c r="A39" s="58"/>
      <c r="H39" s="59"/>
    </row>
    <row r="40" ht="18.75" customHeight="1">
      <c r="A40" s="60"/>
      <c r="B40" s="61"/>
      <c r="C40" s="61"/>
      <c r="D40" s="61"/>
      <c r="E40" s="61"/>
      <c r="F40" s="61"/>
      <c r="G40" s="61"/>
      <c r="H40" s="62"/>
    </row>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mergeCells count="17">
    <mergeCell ref="B10:B11"/>
    <mergeCell ref="C10:C11"/>
    <mergeCell ref="A12:A22"/>
    <mergeCell ref="B12:B22"/>
    <mergeCell ref="A24:H36"/>
    <mergeCell ref="A37:H40"/>
    <mergeCell ref="D10:D11"/>
    <mergeCell ref="E10:E11"/>
    <mergeCell ref="F10:G10"/>
    <mergeCell ref="H10:H11"/>
    <mergeCell ref="A2:C2"/>
    <mergeCell ref="E2:H2"/>
    <mergeCell ref="A3:C3"/>
    <mergeCell ref="E3:H3"/>
    <mergeCell ref="E4:H4"/>
    <mergeCell ref="A5:H5"/>
    <mergeCell ref="A10:A11"/>
  </mergeCells>
  <hyperlinks>
    <hyperlink display="Ấn để trở về sheet &quot; Danh mục&quot;" location="'DANH MỤC'!A1" ref="I5"/>
  </hyperlinks>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5.0"/>
    <col customWidth="1" min="2" max="2" width="14.0"/>
    <col customWidth="1" min="3" max="3" width="45.0"/>
    <col customWidth="1" min="4" max="4" width="23.0"/>
    <col customWidth="1" min="5" max="5" width="25.0"/>
    <col customWidth="1" min="6" max="7" width="9.0"/>
    <col customWidth="1" min="8" max="8" width="21.0"/>
    <col customWidth="1" min="9" max="9" width="42.0"/>
    <col customWidth="1" min="10" max="26" width="14.0"/>
  </cols>
  <sheetData>
    <row r="1" ht="21.0" customHeight="1">
      <c r="A1" s="19"/>
      <c r="B1" s="19"/>
      <c r="C1" s="20"/>
      <c r="D1" s="21"/>
      <c r="E1" s="21"/>
      <c r="F1" s="22"/>
      <c r="G1" s="21"/>
      <c r="H1" s="22"/>
    </row>
    <row r="2" ht="18.75" customHeight="1">
      <c r="A2" s="69" t="s">
        <v>111</v>
      </c>
      <c r="D2" s="70"/>
      <c r="E2" s="26" t="s">
        <v>112</v>
      </c>
    </row>
    <row r="3" ht="21.0" customHeight="1">
      <c r="A3" s="1"/>
      <c r="D3" s="70"/>
      <c r="E3" s="1" t="s">
        <v>113</v>
      </c>
    </row>
    <row r="4" ht="21.0" customHeight="1">
      <c r="A4" s="70"/>
      <c r="B4" s="70"/>
      <c r="C4" s="70"/>
      <c r="D4" s="70"/>
      <c r="E4" s="26" t="s">
        <v>114</v>
      </c>
    </row>
    <row r="5" ht="21.75" customHeight="1">
      <c r="A5" s="27" t="s">
        <v>115</v>
      </c>
      <c r="I5" s="28" t="s">
        <v>116</v>
      </c>
    </row>
    <row r="6" ht="21.75" customHeight="1">
      <c r="A6" s="29" t="s">
        <v>117</v>
      </c>
      <c r="B6" s="30"/>
      <c r="C6" s="31" t="str">
        <f>+'DANH MỤC'!A2</f>
        <v>Công trình:</v>
      </c>
      <c r="D6" s="32"/>
      <c r="E6" s="32"/>
      <c r="F6" s="32"/>
      <c r="G6" s="32"/>
      <c r="H6" s="32"/>
    </row>
    <row r="7" ht="21.75" customHeight="1">
      <c r="A7" s="29"/>
      <c r="B7" s="32"/>
      <c r="C7" s="33" t="str">
        <f>+'DANH MỤC'!A3</f>
        <v>Địa điểm:</v>
      </c>
      <c r="D7" s="32"/>
      <c r="E7" s="32"/>
      <c r="F7" s="32"/>
      <c r="G7" s="32"/>
      <c r="H7" s="32"/>
    </row>
    <row r="8" ht="21.75" customHeight="1">
      <c r="A8" s="29"/>
      <c r="B8" s="32"/>
      <c r="C8" s="33" t="str">
        <f>"Công tác"&amp;": "&amp;'DANH MỤC'!B40</f>
        <v>Công tác: Chống thấm nền vệ sinh</v>
      </c>
      <c r="D8" s="32"/>
      <c r="E8" s="32"/>
      <c r="F8" s="32"/>
      <c r="G8" s="32"/>
      <c r="H8" s="32"/>
    </row>
    <row r="9" ht="21.75" customHeight="1">
      <c r="A9" s="34"/>
      <c r="B9" s="35"/>
      <c r="C9" s="36"/>
      <c r="D9" s="35"/>
      <c r="E9" s="35"/>
      <c r="F9" s="35"/>
      <c r="G9" s="35"/>
    </row>
    <row r="10" ht="21.75" customHeight="1">
      <c r="A10" s="37" t="s">
        <v>3</v>
      </c>
      <c r="B10" s="37" t="s">
        <v>118</v>
      </c>
      <c r="C10" s="38" t="s">
        <v>119</v>
      </c>
      <c r="D10" s="38" t="s">
        <v>120</v>
      </c>
      <c r="E10" s="38" t="s">
        <v>121</v>
      </c>
      <c r="F10" s="39" t="s">
        <v>122</v>
      </c>
      <c r="G10" s="40"/>
      <c r="H10" s="38" t="s">
        <v>123</v>
      </c>
    </row>
    <row r="11" ht="21.75" customHeight="1">
      <c r="A11" s="41"/>
      <c r="B11" s="41"/>
      <c r="C11" s="41"/>
      <c r="D11" s="41"/>
      <c r="E11" s="41"/>
      <c r="F11" s="42" t="s">
        <v>124</v>
      </c>
      <c r="G11" s="42" t="s">
        <v>125</v>
      </c>
      <c r="H11" s="41"/>
    </row>
    <row r="12" ht="52.5" customHeight="1">
      <c r="A12" s="109"/>
      <c r="B12" s="110" t="s">
        <v>574</v>
      </c>
      <c r="C12" s="81" t="s">
        <v>575</v>
      </c>
      <c r="D12" s="75" t="s">
        <v>506</v>
      </c>
      <c r="E12" s="75" t="s">
        <v>129</v>
      </c>
      <c r="F12" s="107"/>
      <c r="G12" s="107"/>
      <c r="H12" s="80" t="s">
        <v>576</v>
      </c>
    </row>
    <row r="13" ht="156.0" customHeight="1">
      <c r="A13" s="48"/>
      <c r="B13" s="48"/>
      <c r="C13" s="81" t="s">
        <v>577</v>
      </c>
      <c r="D13" s="75" t="s">
        <v>506</v>
      </c>
      <c r="E13" s="75" t="s">
        <v>578</v>
      </c>
      <c r="F13" s="107"/>
      <c r="G13" s="107"/>
      <c r="H13" s="80" t="s">
        <v>576</v>
      </c>
    </row>
    <row r="14" ht="54.75" customHeight="1">
      <c r="A14" s="48"/>
      <c r="B14" s="48"/>
      <c r="C14" s="81" t="s">
        <v>579</v>
      </c>
      <c r="D14" s="75" t="s">
        <v>554</v>
      </c>
      <c r="E14" s="75" t="s">
        <v>580</v>
      </c>
      <c r="F14" s="107"/>
      <c r="G14" s="107"/>
      <c r="H14" s="80"/>
    </row>
    <row r="15" ht="57.0" customHeight="1">
      <c r="A15" s="48"/>
      <c r="B15" s="48"/>
      <c r="C15" s="81" t="s">
        <v>581</v>
      </c>
      <c r="D15" s="75" t="s">
        <v>554</v>
      </c>
      <c r="E15" s="75" t="s">
        <v>582</v>
      </c>
      <c r="F15" s="107"/>
      <c r="G15" s="107"/>
      <c r="H15" s="80"/>
    </row>
    <row r="16" ht="124.5" customHeight="1">
      <c r="A16" s="48"/>
      <c r="B16" s="48"/>
      <c r="C16" s="81" t="s">
        <v>583</v>
      </c>
      <c r="D16" s="75" t="s">
        <v>584</v>
      </c>
      <c r="E16" s="75" t="s">
        <v>585</v>
      </c>
      <c r="F16" s="107"/>
      <c r="G16" s="107"/>
      <c r="H16" s="80" t="s">
        <v>576</v>
      </c>
    </row>
    <row r="17" ht="72.75" customHeight="1">
      <c r="A17" s="48"/>
      <c r="B17" s="48"/>
      <c r="C17" s="81" t="s">
        <v>586</v>
      </c>
      <c r="D17" s="75" t="s">
        <v>528</v>
      </c>
      <c r="E17" s="75" t="s">
        <v>587</v>
      </c>
      <c r="F17" s="107"/>
      <c r="G17" s="107"/>
      <c r="H17" s="80" t="s">
        <v>576</v>
      </c>
    </row>
    <row r="18" ht="127.5" customHeight="1">
      <c r="A18" s="41"/>
      <c r="B18" s="41"/>
      <c r="C18" s="81" t="s">
        <v>588</v>
      </c>
      <c r="D18" s="75" t="s">
        <v>589</v>
      </c>
      <c r="E18" s="75" t="s">
        <v>590</v>
      </c>
      <c r="F18" s="107"/>
      <c r="G18" s="107"/>
      <c r="H18" s="80" t="s">
        <v>576</v>
      </c>
    </row>
    <row r="19" ht="21.0" customHeight="1">
      <c r="A19" s="52"/>
      <c r="B19" s="52" t="s">
        <v>175</v>
      </c>
      <c r="C19" s="53"/>
      <c r="D19" s="52"/>
      <c r="E19" s="52"/>
      <c r="F19" s="54"/>
      <c r="G19" s="52"/>
      <c r="H19" s="54"/>
    </row>
    <row r="20" ht="21.0" customHeight="1">
      <c r="A20" s="55" t="s">
        <v>176</v>
      </c>
      <c r="B20" s="56"/>
      <c r="C20" s="56"/>
      <c r="D20" s="56"/>
      <c r="E20" s="56"/>
      <c r="F20" s="56"/>
      <c r="G20" s="56"/>
      <c r="H20" s="57"/>
    </row>
    <row r="21" ht="18.75" customHeight="1">
      <c r="A21" s="58"/>
      <c r="H21" s="59"/>
    </row>
    <row r="22" ht="18.75" customHeight="1">
      <c r="A22" s="58"/>
      <c r="H22" s="59"/>
    </row>
    <row r="23" ht="18.75" customHeight="1">
      <c r="A23" s="58"/>
      <c r="H23" s="59"/>
    </row>
    <row r="24" ht="18.75" customHeight="1">
      <c r="A24" s="58"/>
      <c r="H24" s="59"/>
    </row>
    <row r="25" ht="18.75" customHeight="1">
      <c r="A25" s="58"/>
      <c r="H25" s="59"/>
    </row>
    <row r="26" ht="18.75" customHeight="1">
      <c r="A26" s="58"/>
      <c r="H26" s="59"/>
    </row>
    <row r="27" ht="18.75" customHeight="1">
      <c r="A27" s="58"/>
      <c r="H27" s="59"/>
    </row>
    <row r="28" ht="18.75" customHeight="1">
      <c r="A28" s="58"/>
      <c r="H28" s="59"/>
    </row>
    <row r="29" ht="18.75" customHeight="1">
      <c r="A29" s="58"/>
      <c r="H29" s="59"/>
    </row>
    <row r="30" ht="18.75" customHeight="1">
      <c r="A30" s="58"/>
      <c r="H30" s="59"/>
    </row>
    <row r="31" ht="18.75" customHeight="1">
      <c r="A31" s="58"/>
      <c r="H31" s="59"/>
    </row>
    <row r="32" ht="18.75" customHeight="1">
      <c r="A32" s="60"/>
      <c r="B32" s="61"/>
      <c r="C32" s="61"/>
      <c r="D32" s="61"/>
      <c r="E32" s="61"/>
      <c r="F32" s="61"/>
      <c r="G32" s="61"/>
      <c r="H32" s="62"/>
    </row>
    <row r="33" ht="18.75" customHeight="1">
      <c r="A33" s="63" t="s">
        <v>177</v>
      </c>
      <c r="B33" s="56"/>
      <c r="C33" s="56"/>
      <c r="D33" s="56"/>
      <c r="E33" s="56"/>
      <c r="F33" s="56"/>
      <c r="G33" s="56"/>
      <c r="H33" s="57"/>
    </row>
    <row r="34" ht="18.75" customHeight="1">
      <c r="A34" s="58"/>
      <c r="H34" s="59"/>
    </row>
    <row r="35" ht="18.75" customHeight="1">
      <c r="A35" s="58"/>
      <c r="H35" s="59"/>
    </row>
    <row r="36" ht="18.75" customHeight="1">
      <c r="A36" s="60"/>
      <c r="B36" s="61"/>
      <c r="C36" s="61"/>
      <c r="D36" s="61"/>
      <c r="E36" s="61"/>
      <c r="F36" s="61"/>
      <c r="G36" s="61"/>
      <c r="H36" s="62"/>
    </row>
    <row r="37" ht="18.75" customHeight="1"/>
    <row r="38" ht="18.75" customHeight="1"/>
    <row r="39" ht="18.75" customHeight="1"/>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mergeCells count="17">
    <mergeCell ref="B10:B11"/>
    <mergeCell ref="C10:C11"/>
    <mergeCell ref="A12:A18"/>
    <mergeCell ref="B12:B18"/>
    <mergeCell ref="A20:H32"/>
    <mergeCell ref="A33:H36"/>
    <mergeCell ref="D10:D11"/>
    <mergeCell ref="E10:E11"/>
    <mergeCell ref="F10:G10"/>
    <mergeCell ref="H10:H11"/>
    <mergeCell ref="A2:C2"/>
    <mergeCell ref="E2:H2"/>
    <mergeCell ref="A3:C3"/>
    <mergeCell ref="E3:H3"/>
    <mergeCell ref="E4:H4"/>
    <mergeCell ref="A5:H5"/>
    <mergeCell ref="A10:A11"/>
  </mergeCells>
  <hyperlinks>
    <hyperlink display="Ấn để trở về sheet &quot; Danh mục&quot;" location="'DANH MỤC'!A1" ref="I5"/>
  </hyperlinks>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5.0"/>
    <col customWidth="1" min="2" max="2" width="14.0"/>
    <col customWidth="1" min="3" max="3" width="44.0"/>
    <col customWidth="1" min="4" max="4" width="23.0"/>
    <col customWidth="1" min="5" max="5" width="27.0"/>
    <col customWidth="1" min="6" max="7" width="9.0"/>
    <col customWidth="1" min="8" max="8" width="21.0"/>
    <col customWidth="1" min="9" max="9" width="41.0"/>
    <col customWidth="1" min="10" max="26" width="14.0"/>
  </cols>
  <sheetData>
    <row r="1" ht="21.0" customHeight="1">
      <c r="A1" s="19"/>
      <c r="B1" s="19"/>
      <c r="C1" s="20"/>
      <c r="D1" s="21"/>
      <c r="E1" s="21"/>
      <c r="F1" s="22"/>
      <c r="G1" s="21"/>
      <c r="H1" s="22"/>
    </row>
    <row r="2" ht="18.75" customHeight="1">
      <c r="A2" s="69" t="s">
        <v>111</v>
      </c>
      <c r="D2" s="70"/>
      <c r="E2" s="26" t="s">
        <v>112</v>
      </c>
    </row>
    <row r="3" ht="21.0" customHeight="1">
      <c r="A3" s="1"/>
      <c r="D3" s="70"/>
      <c r="E3" s="1" t="s">
        <v>113</v>
      </c>
    </row>
    <row r="4" ht="21.0" customHeight="1">
      <c r="A4" s="70"/>
      <c r="B4" s="70"/>
      <c r="C4" s="70"/>
      <c r="D4" s="70"/>
      <c r="E4" s="26" t="s">
        <v>114</v>
      </c>
    </row>
    <row r="5" ht="21.75" customHeight="1">
      <c r="A5" s="27" t="s">
        <v>115</v>
      </c>
      <c r="I5" s="28" t="s">
        <v>116</v>
      </c>
    </row>
    <row r="6" ht="21.75" customHeight="1">
      <c r="A6" s="29" t="s">
        <v>117</v>
      </c>
      <c r="B6" s="30"/>
      <c r="C6" s="31" t="str">
        <f>+'DANH MỤC'!A2</f>
        <v>Công trình:</v>
      </c>
      <c r="D6" s="32"/>
      <c r="E6" s="32"/>
      <c r="F6" s="32"/>
      <c r="G6" s="32"/>
      <c r="H6" s="32"/>
    </row>
    <row r="7" ht="21.75" customHeight="1">
      <c r="A7" s="29"/>
      <c r="B7" s="32"/>
      <c r="C7" s="33" t="str">
        <f>+'DANH MỤC'!A3</f>
        <v>Địa điểm:</v>
      </c>
      <c r="D7" s="32"/>
      <c r="E7" s="32"/>
      <c r="F7" s="32"/>
      <c r="G7" s="32"/>
      <c r="H7" s="32"/>
    </row>
    <row r="8" ht="21.75" customHeight="1">
      <c r="A8" s="29"/>
      <c r="B8" s="32"/>
      <c r="C8" s="33" t="str">
        <f>"Công tác"&amp;": "&amp;'DANH MỤC'!B41</f>
        <v>Công tác: Láng nền sàn</v>
      </c>
      <c r="D8" s="32"/>
      <c r="E8" s="32"/>
      <c r="F8" s="32"/>
      <c r="G8" s="32"/>
      <c r="H8" s="32"/>
    </row>
    <row r="9" ht="21.75" customHeight="1">
      <c r="A9" s="34"/>
      <c r="B9" s="35"/>
      <c r="C9" s="36"/>
      <c r="D9" s="35"/>
      <c r="E9" s="35"/>
      <c r="F9" s="35"/>
      <c r="G9" s="35"/>
    </row>
    <row r="10" ht="21.75" customHeight="1">
      <c r="A10" s="37" t="s">
        <v>3</v>
      </c>
      <c r="B10" s="37" t="s">
        <v>118</v>
      </c>
      <c r="C10" s="38" t="s">
        <v>119</v>
      </c>
      <c r="D10" s="38" t="s">
        <v>120</v>
      </c>
      <c r="E10" s="38" t="s">
        <v>121</v>
      </c>
      <c r="F10" s="39" t="s">
        <v>122</v>
      </c>
      <c r="G10" s="40"/>
      <c r="H10" s="38" t="s">
        <v>123</v>
      </c>
    </row>
    <row r="11" ht="21.75" customHeight="1">
      <c r="A11" s="41"/>
      <c r="B11" s="41"/>
      <c r="C11" s="41"/>
      <c r="D11" s="41"/>
      <c r="E11" s="41"/>
      <c r="F11" s="42" t="s">
        <v>124</v>
      </c>
      <c r="G11" s="42" t="s">
        <v>125</v>
      </c>
      <c r="H11" s="41"/>
    </row>
    <row r="12" ht="40.5" customHeight="1">
      <c r="A12" s="109"/>
      <c r="B12" s="110" t="s">
        <v>591</v>
      </c>
      <c r="C12" s="81" t="s">
        <v>592</v>
      </c>
      <c r="D12" s="75" t="s">
        <v>506</v>
      </c>
      <c r="E12" s="75" t="s">
        <v>593</v>
      </c>
      <c r="F12" s="107"/>
      <c r="G12" s="107"/>
      <c r="H12" s="80"/>
    </row>
    <row r="13" ht="37.5" customHeight="1">
      <c r="A13" s="48"/>
      <c r="B13" s="48"/>
      <c r="C13" s="85" t="s">
        <v>594</v>
      </c>
      <c r="D13" s="75" t="s">
        <v>595</v>
      </c>
      <c r="E13" s="75" t="s">
        <v>596</v>
      </c>
      <c r="F13" s="107"/>
      <c r="G13" s="107"/>
      <c r="H13" s="80"/>
    </row>
    <row r="14" ht="43.5" customHeight="1">
      <c r="A14" s="48"/>
      <c r="B14" s="48"/>
      <c r="C14" s="85" t="s">
        <v>597</v>
      </c>
      <c r="D14" s="75" t="s">
        <v>598</v>
      </c>
      <c r="E14" s="75" t="s">
        <v>133</v>
      </c>
      <c r="F14" s="107"/>
      <c r="G14" s="107"/>
      <c r="H14" s="80" t="s">
        <v>599</v>
      </c>
    </row>
    <row r="15" ht="42.75" customHeight="1">
      <c r="A15" s="48"/>
      <c r="B15" s="48"/>
      <c r="C15" s="114" t="s">
        <v>600</v>
      </c>
      <c r="D15" s="75" t="s">
        <v>595</v>
      </c>
      <c r="E15" s="75" t="s">
        <v>596</v>
      </c>
      <c r="F15" s="107"/>
      <c r="G15" s="107"/>
      <c r="H15" s="80"/>
    </row>
    <row r="16" ht="48.0" customHeight="1">
      <c r="A16" s="48"/>
      <c r="B16" s="48"/>
      <c r="C16" s="115" t="s">
        <v>601</v>
      </c>
      <c r="D16" s="75" t="s">
        <v>551</v>
      </c>
      <c r="E16" s="75" t="s">
        <v>596</v>
      </c>
      <c r="F16" s="107"/>
      <c r="G16" s="107"/>
      <c r="H16" s="80"/>
    </row>
    <row r="17" ht="57.0" customHeight="1">
      <c r="A17" s="48"/>
      <c r="B17" s="48"/>
      <c r="C17" s="116" t="s">
        <v>602</v>
      </c>
      <c r="D17" s="75" t="s">
        <v>595</v>
      </c>
      <c r="E17" s="75" t="s">
        <v>603</v>
      </c>
      <c r="F17" s="107"/>
      <c r="G17" s="107"/>
      <c r="H17" s="80" t="s">
        <v>599</v>
      </c>
    </row>
    <row r="18" ht="138.0" customHeight="1">
      <c r="A18" s="48"/>
      <c r="B18" s="48"/>
      <c r="C18" s="85" t="s">
        <v>604</v>
      </c>
      <c r="D18" s="75" t="s">
        <v>605</v>
      </c>
      <c r="E18" s="75" t="s">
        <v>133</v>
      </c>
      <c r="F18" s="107"/>
      <c r="G18" s="107"/>
      <c r="H18" s="80" t="s">
        <v>599</v>
      </c>
    </row>
    <row r="19" ht="57.0" customHeight="1">
      <c r="A19" s="41"/>
      <c r="B19" s="41"/>
      <c r="C19" s="116" t="s">
        <v>606</v>
      </c>
      <c r="D19" s="75" t="s">
        <v>229</v>
      </c>
      <c r="E19" s="75" t="s">
        <v>596</v>
      </c>
      <c r="F19" s="107"/>
      <c r="G19" s="107"/>
      <c r="H19" s="80"/>
    </row>
    <row r="20" ht="21.0" customHeight="1">
      <c r="A20" s="52"/>
      <c r="B20" s="52" t="s">
        <v>175</v>
      </c>
      <c r="C20" s="53"/>
      <c r="D20" s="52"/>
      <c r="E20" s="52"/>
      <c r="F20" s="54"/>
      <c r="G20" s="52"/>
      <c r="H20" s="54"/>
    </row>
    <row r="21" ht="21.0" customHeight="1">
      <c r="A21" s="55" t="s">
        <v>176</v>
      </c>
      <c r="B21" s="56"/>
      <c r="C21" s="56"/>
      <c r="D21" s="56"/>
      <c r="E21" s="56"/>
      <c r="F21" s="56"/>
      <c r="G21" s="56"/>
      <c r="H21" s="57"/>
    </row>
    <row r="22" ht="18.75" customHeight="1">
      <c r="A22" s="58"/>
      <c r="H22" s="59"/>
    </row>
    <row r="23" ht="18.75" customHeight="1">
      <c r="A23" s="58"/>
      <c r="H23" s="59"/>
    </row>
    <row r="24" ht="18.75" customHeight="1">
      <c r="A24" s="58"/>
      <c r="H24" s="59"/>
    </row>
    <row r="25" ht="18.75" customHeight="1">
      <c r="A25" s="58"/>
      <c r="H25" s="59"/>
    </row>
    <row r="26" ht="18.75" customHeight="1">
      <c r="A26" s="58"/>
      <c r="H26" s="59"/>
    </row>
    <row r="27" ht="18.75" customHeight="1">
      <c r="A27" s="58"/>
      <c r="H27" s="59"/>
    </row>
    <row r="28" ht="18.75" customHeight="1">
      <c r="A28" s="58"/>
      <c r="H28" s="59"/>
    </row>
    <row r="29" ht="18.75" customHeight="1">
      <c r="A29" s="58"/>
      <c r="H29" s="59"/>
    </row>
    <row r="30" ht="18.75" customHeight="1">
      <c r="A30" s="58"/>
      <c r="H30" s="59"/>
    </row>
    <row r="31" ht="18.75" customHeight="1">
      <c r="A31" s="58"/>
      <c r="H31" s="59"/>
    </row>
    <row r="32" ht="18.75" customHeight="1">
      <c r="A32" s="58"/>
      <c r="H32" s="59"/>
    </row>
    <row r="33" ht="18.75" customHeight="1">
      <c r="A33" s="60"/>
      <c r="B33" s="61"/>
      <c r="C33" s="61"/>
      <c r="D33" s="61"/>
      <c r="E33" s="61"/>
      <c r="F33" s="61"/>
      <c r="G33" s="61"/>
      <c r="H33" s="62"/>
    </row>
    <row r="34" ht="18.75" customHeight="1">
      <c r="A34" s="63" t="s">
        <v>177</v>
      </c>
      <c r="B34" s="56"/>
      <c r="C34" s="56"/>
      <c r="D34" s="56"/>
      <c r="E34" s="56"/>
      <c r="F34" s="56"/>
      <c r="G34" s="56"/>
      <c r="H34" s="57"/>
    </row>
    <row r="35" ht="18.75" customHeight="1">
      <c r="A35" s="58"/>
      <c r="H35" s="59"/>
    </row>
    <row r="36" ht="18.75" customHeight="1">
      <c r="A36" s="58"/>
      <c r="H36" s="59"/>
    </row>
    <row r="37" ht="18.75" customHeight="1">
      <c r="A37" s="60"/>
      <c r="B37" s="61"/>
      <c r="C37" s="61"/>
      <c r="D37" s="61"/>
      <c r="E37" s="61"/>
      <c r="F37" s="61"/>
      <c r="G37" s="61"/>
      <c r="H37" s="62"/>
    </row>
    <row r="38" ht="18.75" customHeight="1"/>
    <row r="39" ht="18.75" customHeight="1"/>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mergeCells count="17">
    <mergeCell ref="B10:B11"/>
    <mergeCell ref="C10:C11"/>
    <mergeCell ref="A12:A19"/>
    <mergeCell ref="B12:B19"/>
    <mergeCell ref="A21:H33"/>
    <mergeCell ref="A34:H37"/>
    <mergeCell ref="D10:D11"/>
    <mergeCell ref="E10:E11"/>
    <mergeCell ref="F10:G10"/>
    <mergeCell ref="H10:H11"/>
    <mergeCell ref="A2:C2"/>
    <mergeCell ref="E2:H2"/>
    <mergeCell ref="A3:C3"/>
    <mergeCell ref="E3:H3"/>
    <mergeCell ref="E4:H4"/>
    <mergeCell ref="A5:H5"/>
    <mergeCell ref="A10:A11"/>
  </mergeCells>
  <hyperlinks>
    <hyperlink display="Ấn để trở về sheet &quot; Danh mục&quot;" location="'DANH MỤC'!A1" ref="I5"/>
  </hyperlinks>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5.0"/>
    <col customWidth="1" min="2" max="2" width="14.0"/>
    <col customWidth="1" min="3" max="3" width="44.0"/>
    <col customWidth="1" min="4" max="4" width="23.0"/>
    <col customWidth="1" min="5" max="5" width="27.0"/>
    <col customWidth="1" min="6" max="7" width="9.0"/>
    <col customWidth="1" min="8" max="8" width="21.0"/>
    <col customWidth="1" min="9" max="9" width="40.0"/>
    <col customWidth="1" min="10" max="26" width="14.0"/>
  </cols>
  <sheetData>
    <row r="1" ht="21.0" customHeight="1">
      <c r="A1" s="19"/>
      <c r="B1" s="19"/>
      <c r="C1" s="20"/>
      <c r="D1" s="21"/>
      <c r="E1" s="21"/>
      <c r="F1" s="22"/>
      <c r="G1" s="21"/>
      <c r="H1" s="22"/>
    </row>
    <row r="2" ht="18.75" customHeight="1">
      <c r="A2" s="69" t="s">
        <v>111</v>
      </c>
      <c r="D2" s="70"/>
      <c r="E2" s="26" t="s">
        <v>112</v>
      </c>
    </row>
    <row r="3" ht="21.0" customHeight="1">
      <c r="A3" s="1"/>
      <c r="D3" s="70"/>
      <c r="E3" s="1" t="s">
        <v>113</v>
      </c>
    </row>
    <row r="4" ht="21.0" customHeight="1">
      <c r="A4" s="70"/>
      <c r="B4" s="70"/>
      <c r="C4" s="70"/>
      <c r="D4" s="70"/>
      <c r="E4" s="26" t="s">
        <v>114</v>
      </c>
    </row>
    <row r="5" ht="21.75" customHeight="1">
      <c r="A5" s="27" t="s">
        <v>115</v>
      </c>
      <c r="I5" s="28" t="s">
        <v>116</v>
      </c>
    </row>
    <row r="6" ht="21.75" customHeight="1">
      <c r="A6" s="29" t="s">
        <v>117</v>
      </c>
      <c r="B6" s="30"/>
      <c r="C6" s="31" t="str">
        <f>+'DANH MỤC'!A2</f>
        <v>Công trình:</v>
      </c>
      <c r="D6" s="32"/>
      <c r="E6" s="32"/>
      <c r="F6" s="32"/>
      <c r="G6" s="32"/>
      <c r="H6" s="32"/>
    </row>
    <row r="7" ht="21.75" customHeight="1">
      <c r="A7" s="29"/>
      <c r="B7" s="32"/>
      <c r="C7" s="33" t="str">
        <f>+'DANH MỤC'!A3</f>
        <v>Địa điểm:</v>
      </c>
      <c r="D7" s="32"/>
      <c r="E7" s="32"/>
      <c r="F7" s="32"/>
      <c r="G7" s="32"/>
      <c r="H7" s="32"/>
    </row>
    <row r="8" ht="21.75" customHeight="1">
      <c r="A8" s="29"/>
      <c r="B8" s="32"/>
      <c r="C8" s="33" t="str">
        <f>"Công tác"&amp;": "&amp;'DANH MỤC'!B42</f>
        <v>Công tác: Ốp gạch</v>
      </c>
      <c r="D8" s="32"/>
      <c r="E8" s="32"/>
      <c r="F8" s="32"/>
      <c r="G8" s="32"/>
      <c r="H8" s="32"/>
    </row>
    <row r="9" ht="21.75" customHeight="1">
      <c r="A9" s="34"/>
      <c r="B9" s="35"/>
      <c r="C9" s="36"/>
      <c r="D9" s="35"/>
      <c r="E9" s="35"/>
      <c r="F9" s="35"/>
      <c r="G9" s="35"/>
    </row>
    <row r="10" ht="21.75" customHeight="1">
      <c r="A10" s="37" t="s">
        <v>3</v>
      </c>
      <c r="B10" s="37" t="s">
        <v>118</v>
      </c>
      <c r="C10" s="38" t="s">
        <v>119</v>
      </c>
      <c r="D10" s="38" t="s">
        <v>120</v>
      </c>
      <c r="E10" s="38" t="s">
        <v>121</v>
      </c>
      <c r="F10" s="39" t="s">
        <v>122</v>
      </c>
      <c r="G10" s="40"/>
      <c r="H10" s="38" t="s">
        <v>123</v>
      </c>
    </row>
    <row r="11" ht="21.75" customHeight="1">
      <c r="A11" s="41"/>
      <c r="B11" s="41"/>
      <c r="C11" s="41"/>
      <c r="D11" s="41"/>
      <c r="E11" s="41"/>
      <c r="F11" s="42" t="s">
        <v>124</v>
      </c>
      <c r="G11" s="42" t="s">
        <v>125</v>
      </c>
      <c r="H11" s="41"/>
    </row>
    <row r="12" ht="55.5" customHeight="1">
      <c r="A12" s="109"/>
      <c r="B12" s="110" t="s">
        <v>607</v>
      </c>
      <c r="C12" s="81" t="s">
        <v>608</v>
      </c>
      <c r="D12" s="75" t="s">
        <v>609</v>
      </c>
      <c r="E12" s="75" t="s">
        <v>610</v>
      </c>
      <c r="F12" s="107"/>
      <c r="G12" s="107"/>
      <c r="H12" s="80"/>
    </row>
    <row r="13" ht="102.0" customHeight="1">
      <c r="A13" s="48"/>
      <c r="B13" s="48"/>
      <c r="C13" s="85" t="s">
        <v>611</v>
      </c>
      <c r="D13" s="75" t="s">
        <v>595</v>
      </c>
      <c r="E13" s="75" t="s">
        <v>612</v>
      </c>
      <c r="F13" s="107"/>
      <c r="G13" s="107"/>
      <c r="H13" s="80"/>
    </row>
    <row r="14" ht="187.5" customHeight="1">
      <c r="A14" s="48"/>
      <c r="B14" s="48"/>
      <c r="C14" s="85" t="s">
        <v>613</v>
      </c>
      <c r="D14" s="75" t="s">
        <v>614</v>
      </c>
      <c r="E14" s="75" t="s">
        <v>615</v>
      </c>
      <c r="F14" s="107"/>
      <c r="G14" s="107"/>
      <c r="H14" s="80"/>
    </row>
    <row r="15" ht="84.0" customHeight="1">
      <c r="A15" s="48"/>
      <c r="B15" s="48"/>
      <c r="C15" s="85" t="s">
        <v>616</v>
      </c>
      <c r="D15" s="75" t="s">
        <v>595</v>
      </c>
      <c r="E15" s="75" t="s">
        <v>133</v>
      </c>
      <c r="F15" s="107"/>
      <c r="G15" s="107"/>
      <c r="H15" s="80" t="s">
        <v>599</v>
      </c>
    </row>
    <row r="16" ht="48.0" customHeight="1">
      <c r="A16" s="48"/>
      <c r="B16" s="48"/>
      <c r="C16" s="115" t="s">
        <v>617</v>
      </c>
      <c r="D16" s="75" t="s">
        <v>618</v>
      </c>
      <c r="E16" s="75" t="s">
        <v>619</v>
      </c>
      <c r="F16" s="107"/>
      <c r="G16" s="107"/>
      <c r="H16" s="80"/>
    </row>
    <row r="17" ht="57.0" customHeight="1">
      <c r="A17" s="48"/>
      <c r="B17" s="48"/>
      <c r="C17" s="115" t="s">
        <v>620</v>
      </c>
      <c r="D17" s="75" t="s">
        <v>595</v>
      </c>
      <c r="E17" s="75" t="s">
        <v>621</v>
      </c>
      <c r="F17" s="107"/>
      <c r="G17" s="107"/>
      <c r="H17" s="80"/>
    </row>
    <row r="18" ht="105.0" customHeight="1">
      <c r="A18" s="48"/>
      <c r="B18" s="48"/>
      <c r="C18" s="85" t="s">
        <v>622</v>
      </c>
      <c r="D18" s="75" t="s">
        <v>623</v>
      </c>
      <c r="E18" s="75" t="s">
        <v>624</v>
      </c>
      <c r="F18" s="107"/>
      <c r="G18" s="107"/>
      <c r="H18" s="80" t="s">
        <v>599</v>
      </c>
    </row>
    <row r="19" ht="40.5" customHeight="1">
      <c r="A19" s="48"/>
      <c r="B19" s="48"/>
      <c r="C19" s="85" t="s">
        <v>625</v>
      </c>
      <c r="D19" s="75" t="s">
        <v>605</v>
      </c>
      <c r="E19" s="75" t="s">
        <v>626</v>
      </c>
      <c r="F19" s="107"/>
      <c r="G19" s="107"/>
      <c r="H19" s="80" t="s">
        <v>599</v>
      </c>
    </row>
    <row r="20" ht="135.0" customHeight="1">
      <c r="A20" s="41"/>
      <c r="B20" s="41"/>
      <c r="C20" s="116" t="s">
        <v>627</v>
      </c>
      <c r="D20" s="75" t="s">
        <v>628</v>
      </c>
      <c r="E20" s="75" t="s">
        <v>629</v>
      </c>
      <c r="F20" s="107"/>
      <c r="G20" s="107"/>
      <c r="H20" s="80" t="s">
        <v>599</v>
      </c>
    </row>
    <row r="21" ht="21.0" customHeight="1">
      <c r="A21" s="52"/>
      <c r="B21" s="52" t="s">
        <v>175</v>
      </c>
      <c r="C21" s="53"/>
      <c r="D21" s="52"/>
      <c r="E21" s="52"/>
      <c r="F21" s="54"/>
      <c r="G21" s="52"/>
      <c r="H21" s="54"/>
    </row>
    <row r="22" ht="21.0" customHeight="1">
      <c r="A22" s="55" t="s">
        <v>176</v>
      </c>
      <c r="B22" s="56"/>
      <c r="C22" s="56"/>
      <c r="D22" s="56"/>
      <c r="E22" s="56"/>
      <c r="F22" s="56"/>
      <c r="G22" s="56"/>
      <c r="H22" s="57"/>
    </row>
    <row r="23" ht="18.75" customHeight="1">
      <c r="A23" s="58"/>
      <c r="H23" s="59"/>
    </row>
    <row r="24" ht="18.75" customHeight="1">
      <c r="A24" s="58"/>
      <c r="H24" s="59"/>
    </row>
    <row r="25" ht="18.75" customHeight="1">
      <c r="A25" s="58"/>
      <c r="H25" s="59"/>
    </row>
    <row r="26" ht="18.75" customHeight="1">
      <c r="A26" s="58"/>
      <c r="H26" s="59"/>
    </row>
    <row r="27" ht="18.75" customHeight="1">
      <c r="A27" s="58"/>
      <c r="H27" s="59"/>
    </row>
    <row r="28" ht="18.75" customHeight="1">
      <c r="A28" s="58"/>
      <c r="H28" s="59"/>
    </row>
    <row r="29" ht="18.75" customHeight="1">
      <c r="A29" s="58"/>
      <c r="H29" s="59"/>
    </row>
    <row r="30" ht="18.75" customHeight="1">
      <c r="A30" s="58"/>
      <c r="H30" s="59"/>
    </row>
    <row r="31" ht="18.75" customHeight="1">
      <c r="A31" s="58"/>
      <c r="H31" s="59"/>
    </row>
    <row r="32" ht="18.75" customHeight="1">
      <c r="A32" s="58"/>
      <c r="H32" s="59"/>
    </row>
    <row r="33" ht="18.75" customHeight="1">
      <c r="A33" s="58"/>
      <c r="H33" s="59"/>
    </row>
    <row r="34" ht="18.75" customHeight="1">
      <c r="A34" s="60"/>
      <c r="B34" s="61"/>
      <c r="C34" s="61"/>
      <c r="D34" s="61"/>
      <c r="E34" s="61"/>
      <c r="F34" s="61"/>
      <c r="G34" s="61"/>
      <c r="H34" s="62"/>
    </row>
    <row r="35" ht="18.75" customHeight="1">
      <c r="A35" s="63" t="s">
        <v>177</v>
      </c>
      <c r="B35" s="56"/>
      <c r="C35" s="56"/>
      <c r="D35" s="56"/>
      <c r="E35" s="56"/>
      <c r="F35" s="56"/>
      <c r="G35" s="56"/>
      <c r="H35" s="57"/>
    </row>
    <row r="36" ht="18.75" customHeight="1">
      <c r="A36" s="58"/>
      <c r="H36" s="59"/>
    </row>
    <row r="37" ht="18.75" customHeight="1">
      <c r="A37" s="58"/>
      <c r="H37" s="59"/>
    </row>
    <row r="38" ht="18.75" customHeight="1">
      <c r="A38" s="60"/>
      <c r="B38" s="61"/>
      <c r="C38" s="61"/>
      <c r="D38" s="61"/>
      <c r="E38" s="61"/>
      <c r="F38" s="61"/>
      <c r="G38" s="61"/>
      <c r="H38" s="62"/>
    </row>
    <row r="39" ht="18.75" customHeight="1"/>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mergeCells count="17">
    <mergeCell ref="B10:B11"/>
    <mergeCell ref="C10:C11"/>
    <mergeCell ref="A12:A20"/>
    <mergeCell ref="B12:B20"/>
    <mergeCell ref="A22:H34"/>
    <mergeCell ref="A35:H38"/>
    <mergeCell ref="D10:D11"/>
    <mergeCell ref="E10:E11"/>
    <mergeCell ref="F10:G10"/>
    <mergeCell ref="H10:H11"/>
    <mergeCell ref="A2:C2"/>
    <mergeCell ref="E2:H2"/>
    <mergeCell ref="A3:C3"/>
    <mergeCell ref="E3:H3"/>
    <mergeCell ref="E4:H4"/>
    <mergeCell ref="A5:H5"/>
    <mergeCell ref="A10:A11"/>
  </mergeCells>
  <hyperlinks>
    <hyperlink display="Ấn để trở về sheet &quot; Danh mục&quot;" location="'DANH MỤC'!A1" ref="I5"/>
  </hyperlinks>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5.0"/>
    <col customWidth="1" min="2" max="2" width="14.0"/>
    <col customWidth="1" min="3" max="3" width="44.0"/>
    <col customWidth="1" min="4" max="4" width="23.0"/>
    <col customWidth="1" min="5" max="5" width="27.0"/>
    <col customWidth="1" min="6" max="7" width="9.0"/>
    <col customWidth="1" min="8" max="8" width="21.0"/>
    <col customWidth="1" min="9" max="9" width="42.0"/>
    <col customWidth="1" min="10" max="26" width="14.0"/>
  </cols>
  <sheetData>
    <row r="1" ht="21.0" customHeight="1">
      <c r="A1" s="19"/>
      <c r="B1" s="19"/>
      <c r="C1" s="20"/>
      <c r="D1" s="21"/>
      <c r="E1" s="21"/>
      <c r="F1" s="22"/>
      <c r="G1" s="21"/>
      <c r="H1" s="22"/>
    </row>
    <row r="2" ht="18.75" customHeight="1">
      <c r="A2" s="69" t="s">
        <v>111</v>
      </c>
      <c r="D2" s="70"/>
      <c r="E2" s="26" t="s">
        <v>112</v>
      </c>
    </row>
    <row r="3" ht="21.0" customHeight="1">
      <c r="A3" s="1"/>
      <c r="D3" s="70"/>
      <c r="E3" s="1" t="s">
        <v>113</v>
      </c>
    </row>
    <row r="4" ht="21.0" customHeight="1">
      <c r="A4" s="70"/>
      <c r="B4" s="70"/>
      <c r="C4" s="70"/>
      <c r="D4" s="70"/>
      <c r="E4" s="26" t="s">
        <v>114</v>
      </c>
    </row>
    <row r="5" ht="21.75" customHeight="1">
      <c r="A5" s="27" t="s">
        <v>115</v>
      </c>
      <c r="I5" s="28" t="s">
        <v>116</v>
      </c>
    </row>
    <row r="6" ht="21.75" customHeight="1">
      <c r="A6" s="29" t="s">
        <v>117</v>
      </c>
      <c r="B6" s="30"/>
      <c r="C6" s="31" t="str">
        <f>+'DANH MỤC'!A2</f>
        <v>Công trình:</v>
      </c>
      <c r="D6" s="32"/>
      <c r="E6" s="32"/>
      <c r="F6" s="32"/>
      <c r="G6" s="32"/>
      <c r="H6" s="32"/>
    </row>
    <row r="7" ht="21.75" customHeight="1">
      <c r="A7" s="29"/>
      <c r="B7" s="32"/>
      <c r="C7" s="33" t="str">
        <f>+'DANH MỤC'!A3</f>
        <v>Địa điểm:</v>
      </c>
      <c r="D7" s="32"/>
      <c r="E7" s="32"/>
      <c r="F7" s="32"/>
      <c r="G7" s="32"/>
      <c r="H7" s="32"/>
    </row>
    <row r="8" ht="21.75" customHeight="1">
      <c r="A8" s="29"/>
      <c r="B8" s="32"/>
      <c r="C8" s="33" t="str">
        <f>"Công tác"&amp;": "&amp;'DANH MỤC'!B43</f>
        <v>Công tác: Lát gạch</v>
      </c>
      <c r="D8" s="32"/>
      <c r="E8" s="32"/>
      <c r="F8" s="32"/>
      <c r="G8" s="32"/>
      <c r="H8" s="32"/>
    </row>
    <row r="9" ht="21.75" customHeight="1">
      <c r="A9" s="34"/>
      <c r="B9" s="35"/>
      <c r="C9" s="36"/>
      <c r="D9" s="35"/>
      <c r="E9" s="35"/>
      <c r="F9" s="35"/>
      <c r="G9" s="35"/>
    </row>
    <row r="10" ht="21.75" customHeight="1">
      <c r="A10" s="37" t="s">
        <v>3</v>
      </c>
      <c r="B10" s="37" t="s">
        <v>118</v>
      </c>
      <c r="C10" s="38" t="s">
        <v>119</v>
      </c>
      <c r="D10" s="38" t="s">
        <v>120</v>
      </c>
      <c r="E10" s="38" t="s">
        <v>121</v>
      </c>
      <c r="F10" s="39" t="s">
        <v>122</v>
      </c>
      <c r="G10" s="40"/>
      <c r="H10" s="38" t="s">
        <v>123</v>
      </c>
    </row>
    <row r="11" ht="21.75" customHeight="1">
      <c r="A11" s="41"/>
      <c r="B11" s="41"/>
      <c r="C11" s="41"/>
      <c r="D11" s="41"/>
      <c r="E11" s="41"/>
      <c r="F11" s="42" t="s">
        <v>124</v>
      </c>
      <c r="G11" s="42" t="s">
        <v>125</v>
      </c>
      <c r="H11" s="41"/>
    </row>
    <row r="12" ht="55.5" customHeight="1">
      <c r="A12" s="109"/>
      <c r="B12" s="110" t="s">
        <v>630</v>
      </c>
      <c r="C12" s="81" t="s">
        <v>631</v>
      </c>
      <c r="D12" s="75" t="s">
        <v>609</v>
      </c>
      <c r="E12" s="75" t="s">
        <v>610</v>
      </c>
      <c r="F12" s="107"/>
      <c r="G12" s="107"/>
      <c r="H12" s="80"/>
    </row>
    <row r="13" ht="192.0" customHeight="1">
      <c r="A13" s="48"/>
      <c r="B13" s="48"/>
      <c r="C13" s="85" t="s">
        <v>632</v>
      </c>
      <c r="D13" s="75" t="s">
        <v>595</v>
      </c>
      <c r="E13" s="75" t="s">
        <v>633</v>
      </c>
      <c r="F13" s="107"/>
      <c r="G13" s="107"/>
      <c r="H13" s="80"/>
    </row>
    <row r="14" ht="216.75" customHeight="1">
      <c r="A14" s="48"/>
      <c r="B14" s="48"/>
      <c r="C14" s="85" t="s">
        <v>634</v>
      </c>
      <c r="D14" s="75" t="s">
        <v>635</v>
      </c>
      <c r="E14" s="75" t="s">
        <v>636</v>
      </c>
      <c r="F14" s="107"/>
      <c r="G14" s="107"/>
      <c r="H14" s="80"/>
    </row>
    <row r="15" ht="84.0" customHeight="1">
      <c r="A15" s="48"/>
      <c r="B15" s="48"/>
      <c r="C15" s="85" t="s">
        <v>637</v>
      </c>
      <c r="D15" s="75" t="s">
        <v>595</v>
      </c>
      <c r="E15" s="75" t="s">
        <v>133</v>
      </c>
      <c r="F15" s="107"/>
      <c r="G15" s="107"/>
      <c r="H15" s="80" t="s">
        <v>599</v>
      </c>
    </row>
    <row r="16" ht="48.0" customHeight="1">
      <c r="A16" s="48"/>
      <c r="B16" s="48"/>
      <c r="C16" s="115" t="s">
        <v>617</v>
      </c>
      <c r="D16" s="75" t="s">
        <v>618</v>
      </c>
      <c r="E16" s="75" t="s">
        <v>638</v>
      </c>
      <c r="F16" s="107"/>
      <c r="G16" s="107"/>
      <c r="H16" s="80"/>
    </row>
    <row r="17" ht="105.0" customHeight="1">
      <c r="A17" s="48"/>
      <c r="B17" s="48"/>
      <c r="C17" s="85" t="s">
        <v>639</v>
      </c>
      <c r="D17" s="75" t="s">
        <v>623</v>
      </c>
      <c r="E17" s="75" t="s">
        <v>640</v>
      </c>
      <c r="F17" s="107"/>
      <c r="G17" s="107"/>
      <c r="H17" s="80" t="s">
        <v>599</v>
      </c>
    </row>
    <row r="18" ht="40.5" customHeight="1">
      <c r="A18" s="48"/>
      <c r="B18" s="48"/>
      <c r="C18" s="85" t="s">
        <v>641</v>
      </c>
      <c r="D18" s="75" t="s">
        <v>605</v>
      </c>
      <c r="E18" s="75" t="s">
        <v>642</v>
      </c>
      <c r="F18" s="107"/>
      <c r="G18" s="107"/>
      <c r="H18" s="80" t="s">
        <v>599</v>
      </c>
    </row>
    <row r="19" ht="138.75" customHeight="1">
      <c r="A19" s="41"/>
      <c r="B19" s="41"/>
      <c r="C19" s="116" t="s">
        <v>643</v>
      </c>
      <c r="D19" s="75" t="s">
        <v>628</v>
      </c>
      <c r="E19" s="75" t="s">
        <v>644</v>
      </c>
      <c r="F19" s="107"/>
      <c r="G19" s="107"/>
      <c r="H19" s="80" t="s">
        <v>599</v>
      </c>
    </row>
    <row r="20" ht="21.0" customHeight="1">
      <c r="A20" s="52"/>
      <c r="B20" s="52" t="s">
        <v>175</v>
      </c>
      <c r="C20" s="53"/>
      <c r="D20" s="52"/>
      <c r="E20" s="52"/>
      <c r="F20" s="54"/>
      <c r="G20" s="52"/>
      <c r="H20" s="54"/>
    </row>
    <row r="21" ht="21.0" customHeight="1">
      <c r="A21" s="55" t="s">
        <v>176</v>
      </c>
      <c r="B21" s="56"/>
      <c r="C21" s="56"/>
      <c r="D21" s="56"/>
      <c r="E21" s="56"/>
      <c r="F21" s="56"/>
      <c r="G21" s="56"/>
      <c r="H21" s="57"/>
    </row>
    <row r="22" ht="18.75" customHeight="1">
      <c r="A22" s="58"/>
      <c r="H22" s="59"/>
    </row>
    <row r="23" ht="18.75" customHeight="1">
      <c r="A23" s="58"/>
      <c r="H23" s="59"/>
    </row>
    <row r="24" ht="18.75" customHeight="1">
      <c r="A24" s="58"/>
      <c r="H24" s="59"/>
    </row>
    <row r="25" ht="18.75" customHeight="1">
      <c r="A25" s="58"/>
      <c r="H25" s="59"/>
    </row>
    <row r="26" ht="18.75" customHeight="1">
      <c r="A26" s="58"/>
      <c r="H26" s="59"/>
    </row>
    <row r="27" ht="18.75" customHeight="1">
      <c r="A27" s="58"/>
      <c r="H27" s="59"/>
    </row>
    <row r="28" ht="18.75" customHeight="1">
      <c r="A28" s="58"/>
      <c r="H28" s="59"/>
    </row>
    <row r="29" ht="18.75" customHeight="1">
      <c r="A29" s="58"/>
      <c r="H29" s="59"/>
    </row>
    <row r="30" ht="18.75" customHeight="1">
      <c r="A30" s="58"/>
      <c r="H30" s="59"/>
    </row>
    <row r="31" ht="18.75" customHeight="1">
      <c r="A31" s="58"/>
      <c r="H31" s="59"/>
    </row>
    <row r="32" ht="18.75" customHeight="1">
      <c r="A32" s="58"/>
      <c r="H32" s="59"/>
    </row>
    <row r="33" ht="18.75" customHeight="1">
      <c r="A33" s="60"/>
      <c r="B33" s="61"/>
      <c r="C33" s="61"/>
      <c r="D33" s="61"/>
      <c r="E33" s="61"/>
      <c r="F33" s="61"/>
      <c r="G33" s="61"/>
      <c r="H33" s="62"/>
    </row>
    <row r="34" ht="18.75" customHeight="1">
      <c r="A34" s="63" t="s">
        <v>177</v>
      </c>
      <c r="B34" s="56"/>
      <c r="C34" s="56"/>
      <c r="D34" s="56"/>
      <c r="E34" s="56"/>
      <c r="F34" s="56"/>
      <c r="G34" s="56"/>
      <c r="H34" s="57"/>
    </row>
    <row r="35" ht="18.75" customHeight="1">
      <c r="A35" s="58"/>
      <c r="H35" s="59"/>
    </row>
    <row r="36" ht="18.75" customHeight="1">
      <c r="A36" s="58"/>
      <c r="H36" s="59"/>
    </row>
    <row r="37" ht="18.75" customHeight="1">
      <c r="A37" s="60"/>
      <c r="B37" s="61"/>
      <c r="C37" s="61"/>
      <c r="D37" s="61"/>
      <c r="E37" s="61"/>
      <c r="F37" s="61"/>
      <c r="G37" s="61"/>
      <c r="H37" s="62"/>
    </row>
    <row r="38" ht="18.75" customHeight="1"/>
    <row r="39" ht="18.75" customHeight="1"/>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mergeCells count="17">
    <mergeCell ref="B10:B11"/>
    <mergeCell ref="C10:C11"/>
    <mergeCell ref="A12:A19"/>
    <mergeCell ref="B12:B19"/>
    <mergeCell ref="A21:H33"/>
    <mergeCell ref="A34:H37"/>
    <mergeCell ref="D10:D11"/>
    <mergeCell ref="E10:E11"/>
    <mergeCell ref="F10:G10"/>
    <mergeCell ref="H10:H11"/>
    <mergeCell ref="A2:C2"/>
    <mergeCell ref="E2:H2"/>
    <mergeCell ref="A3:C3"/>
    <mergeCell ref="E3:H3"/>
    <mergeCell ref="E4:H4"/>
    <mergeCell ref="A5:H5"/>
    <mergeCell ref="A10:A11"/>
  </mergeCells>
  <hyperlinks>
    <hyperlink display="Ấn để trở về sheet &quot; Danh mục&quot;" location="'DANH MỤC'!A1" ref="I5"/>
  </hyperlinks>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5.0"/>
    <col customWidth="1" min="2" max="2" width="14.0"/>
    <col customWidth="1" min="3" max="3" width="45.0"/>
    <col customWidth="1" min="4" max="4" width="23.0"/>
    <col customWidth="1" min="5" max="5" width="27.0"/>
    <col customWidth="1" min="6" max="7" width="9.0"/>
    <col customWidth="1" min="8" max="8" width="21.0"/>
    <col customWidth="1" min="9" max="9" width="42.0"/>
    <col customWidth="1" min="10" max="26" width="14.0"/>
  </cols>
  <sheetData>
    <row r="1" ht="21.0" customHeight="1">
      <c r="A1" s="19"/>
      <c r="B1" s="19"/>
      <c r="C1" s="20"/>
      <c r="D1" s="21"/>
      <c r="E1" s="21"/>
      <c r="F1" s="22"/>
      <c r="G1" s="21"/>
      <c r="H1" s="22"/>
    </row>
    <row r="2" ht="18.75" customHeight="1">
      <c r="A2" s="69" t="s">
        <v>111</v>
      </c>
      <c r="D2" s="70"/>
      <c r="E2" s="26" t="s">
        <v>112</v>
      </c>
    </row>
    <row r="3" ht="21.0" customHeight="1">
      <c r="A3" s="1"/>
      <c r="D3" s="70"/>
      <c r="E3" s="1" t="s">
        <v>113</v>
      </c>
    </row>
    <row r="4" ht="21.0" customHeight="1">
      <c r="A4" s="70"/>
      <c r="B4" s="70"/>
      <c r="C4" s="70"/>
      <c r="D4" s="70"/>
      <c r="E4" s="26" t="s">
        <v>114</v>
      </c>
    </row>
    <row r="5" ht="21.75" customHeight="1">
      <c r="A5" s="27" t="s">
        <v>115</v>
      </c>
      <c r="I5" s="28" t="s">
        <v>116</v>
      </c>
    </row>
    <row r="6" ht="21.75" customHeight="1">
      <c r="A6" s="29" t="s">
        <v>117</v>
      </c>
      <c r="B6" s="30"/>
      <c r="C6" s="31" t="str">
        <f>+'DANH MỤC'!A2</f>
        <v>Công trình:</v>
      </c>
      <c r="D6" s="32"/>
      <c r="E6" s="32"/>
      <c r="F6" s="32"/>
      <c r="G6" s="32"/>
      <c r="H6" s="32"/>
    </row>
    <row r="7" ht="21.75" customHeight="1">
      <c r="A7" s="29"/>
      <c r="B7" s="32"/>
      <c r="C7" s="33" t="str">
        <f>+'DANH MỤC'!A3</f>
        <v>Địa điểm:</v>
      </c>
      <c r="D7" s="32"/>
      <c r="E7" s="32"/>
      <c r="F7" s="32"/>
      <c r="G7" s="32"/>
      <c r="H7" s="32"/>
    </row>
    <row r="8" ht="21.75" customHeight="1">
      <c r="A8" s="29"/>
      <c r="B8" s="32"/>
      <c r="C8" s="33" t="str">
        <f>"Công tác"&amp;": "&amp;'DANH MỤC'!B44</f>
        <v>Công tác: Lát đá</v>
      </c>
      <c r="D8" s="32"/>
      <c r="E8" s="32"/>
      <c r="F8" s="32"/>
      <c r="G8" s="32"/>
      <c r="H8" s="32"/>
    </row>
    <row r="9" ht="21.75" customHeight="1">
      <c r="A9" s="34"/>
      <c r="B9" s="35"/>
      <c r="C9" s="36"/>
      <c r="D9" s="35"/>
      <c r="E9" s="35"/>
      <c r="F9" s="35"/>
      <c r="G9" s="35"/>
    </row>
    <row r="10" ht="21.75" customHeight="1">
      <c r="A10" s="37" t="s">
        <v>3</v>
      </c>
      <c r="B10" s="37" t="s">
        <v>118</v>
      </c>
      <c r="C10" s="38" t="s">
        <v>119</v>
      </c>
      <c r="D10" s="38" t="s">
        <v>120</v>
      </c>
      <c r="E10" s="38" t="s">
        <v>121</v>
      </c>
      <c r="F10" s="39" t="s">
        <v>122</v>
      </c>
      <c r="G10" s="40"/>
      <c r="H10" s="38" t="s">
        <v>123</v>
      </c>
    </row>
    <row r="11" ht="21.75" customHeight="1">
      <c r="A11" s="41"/>
      <c r="B11" s="41"/>
      <c r="C11" s="41"/>
      <c r="D11" s="41"/>
      <c r="E11" s="41"/>
      <c r="F11" s="42" t="s">
        <v>124</v>
      </c>
      <c r="G11" s="42" t="s">
        <v>125</v>
      </c>
      <c r="H11" s="41"/>
    </row>
    <row r="12" ht="150.75" customHeight="1">
      <c r="A12" s="109"/>
      <c r="B12" s="110" t="s">
        <v>645</v>
      </c>
      <c r="C12" s="81" t="s">
        <v>646</v>
      </c>
      <c r="D12" s="75" t="s">
        <v>647</v>
      </c>
      <c r="E12" s="75" t="s">
        <v>133</v>
      </c>
      <c r="F12" s="107"/>
      <c r="G12" s="107"/>
      <c r="H12" s="80" t="s">
        <v>648</v>
      </c>
    </row>
    <row r="13" ht="195.0" customHeight="1">
      <c r="A13" s="48"/>
      <c r="B13" s="48"/>
      <c r="C13" s="81" t="s">
        <v>649</v>
      </c>
      <c r="D13" s="75" t="s">
        <v>595</v>
      </c>
      <c r="E13" s="75" t="s">
        <v>633</v>
      </c>
      <c r="F13" s="107"/>
      <c r="G13" s="107"/>
      <c r="H13" s="80"/>
    </row>
    <row r="14" ht="183.75" customHeight="1">
      <c r="A14" s="48"/>
      <c r="B14" s="48"/>
      <c r="C14" s="115" t="s">
        <v>650</v>
      </c>
      <c r="D14" s="75" t="s">
        <v>651</v>
      </c>
      <c r="E14" s="75" t="s">
        <v>133</v>
      </c>
      <c r="F14" s="107"/>
      <c r="G14" s="107"/>
      <c r="H14" s="80" t="s">
        <v>648</v>
      </c>
    </row>
    <row r="15" ht="64.5" customHeight="1">
      <c r="A15" s="41"/>
      <c r="B15" s="41"/>
      <c r="C15" s="115" t="s">
        <v>652</v>
      </c>
      <c r="D15" s="75" t="s">
        <v>229</v>
      </c>
      <c r="E15" s="75" t="s">
        <v>653</v>
      </c>
      <c r="F15" s="117"/>
      <c r="G15" s="118"/>
      <c r="H15" s="80"/>
    </row>
    <row r="16" ht="21.0" customHeight="1">
      <c r="A16" s="52"/>
      <c r="B16" s="52" t="s">
        <v>175</v>
      </c>
      <c r="C16" s="53"/>
      <c r="D16" s="52"/>
      <c r="E16" s="52"/>
      <c r="F16" s="54"/>
      <c r="G16" s="52"/>
      <c r="H16" s="54"/>
    </row>
    <row r="17" ht="21.0" customHeight="1">
      <c r="A17" s="55" t="s">
        <v>176</v>
      </c>
      <c r="B17" s="56"/>
      <c r="C17" s="56"/>
      <c r="D17" s="56"/>
      <c r="E17" s="56"/>
      <c r="F17" s="56"/>
      <c r="G17" s="56"/>
      <c r="H17" s="57"/>
    </row>
    <row r="18" ht="21.0" customHeight="1">
      <c r="A18" s="58"/>
      <c r="H18" s="59"/>
    </row>
    <row r="19" ht="21.0" customHeight="1">
      <c r="A19" s="58"/>
      <c r="H19" s="59"/>
    </row>
    <row r="20" ht="21.0" customHeight="1">
      <c r="A20" s="58"/>
      <c r="H20" s="59"/>
    </row>
    <row r="21" ht="18.75" customHeight="1">
      <c r="A21" s="58"/>
      <c r="H21" s="59"/>
    </row>
    <row r="22" ht="18.75" customHeight="1">
      <c r="A22" s="58"/>
      <c r="H22" s="59"/>
    </row>
    <row r="23" ht="18.75" customHeight="1">
      <c r="A23" s="58"/>
      <c r="H23" s="59"/>
    </row>
    <row r="24" ht="18.75" customHeight="1">
      <c r="A24" s="58"/>
      <c r="H24" s="59"/>
    </row>
    <row r="25" ht="18.75" customHeight="1">
      <c r="A25" s="58"/>
      <c r="H25" s="59"/>
    </row>
    <row r="26" ht="18.75" customHeight="1">
      <c r="A26" s="58"/>
      <c r="H26" s="59"/>
    </row>
    <row r="27" ht="18.75" customHeight="1">
      <c r="A27" s="58"/>
      <c r="H27" s="59"/>
    </row>
    <row r="28" ht="18.75" customHeight="1">
      <c r="A28" s="58"/>
      <c r="H28" s="59"/>
    </row>
    <row r="29" ht="18.75" customHeight="1">
      <c r="A29" s="60"/>
      <c r="B29" s="61"/>
      <c r="C29" s="61"/>
      <c r="D29" s="61"/>
      <c r="E29" s="61"/>
      <c r="F29" s="61"/>
      <c r="G29" s="61"/>
      <c r="H29" s="62"/>
    </row>
    <row r="30" ht="18.75" customHeight="1">
      <c r="A30" s="63" t="s">
        <v>177</v>
      </c>
      <c r="B30" s="56"/>
      <c r="C30" s="56"/>
      <c r="D30" s="56"/>
      <c r="E30" s="56"/>
      <c r="F30" s="56"/>
      <c r="G30" s="56"/>
      <c r="H30" s="57"/>
    </row>
    <row r="31" ht="18.75" customHeight="1">
      <c r="A31" s="58"/>
      <c r="H31" s="59"/>
    </row>
    <row r="32" ht="18.75" customHeight="1">
      <c r="A32" s="58"/>
      <c r="H32" s="59"/>
    </row>
    <row r="33" ht="18.75" customHeight="1">
      <c r="A33" s="60"/>
      <c r="B33" s="61"/>
      <c r="C33" s="61"/>
      <c r="D33" s="61"/>
      <c r="E33" s="61"/>
      <c r="F33" s="61"/>
      <c r="G33" s="61"/>
      <c r="H33" s="62"/>
    </row>
    <row r="34" ht="18.75" customHeight="1"/>
    <row r="35" ht="18.75" customHeight="1"/>
    <row r="36" ht="18.75" customHeight="1"/>
    <row r="37" ht="18.75" customHeight="1"/>
    <row r="38" ht="18.75" customHeight="1"/>
    <row r="39" ht="18.75" customHeight="1"/>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mergeCells count="17">
    <mergeCell ref="B10:B11"/>
    <mergeCell ref="C10:C11"/>
    <mergeCell ref="A12:A15"/>
    <mergeCell ref="B12:B15"/>
    <mergeCell ref="A17:H29"/>
    <mergeCell ref="A30:H33"/>
    <mergeCell ref="D10:D11"/>
    <mergeCell ref="E10:E11"/>
    <mergeCell ref="F10:G10"/>
    <mergeCell ref="H10:H11"/>
    <mergeCell ref="A2:C2"/>
    <mergeCell ref="E2:H2"/>
    <mergeCell ref="A3:C3"/>
    <mergeCell ref="E3:H3"/>
    <mergeCell ref="E4:H4"/>
    <mergeCell ref="A5:H5"/>
    <mergeCell ref="A10:A11"/>
  </mergeCells>
  <hyperlinks>
    <hyperlink display="Ấn để trở về sheet &quot; Danh mục&quot;" location="'DANH MỤC'!A1" ref="I5"/>
  </hyperlinks>
  <drawing r:id="rId1"/>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5.0"/>
    <col customWidth="1" min="2" max="2" width="14.0"/>
    <col customWidth="1" min="3" max="3" width="45.0"/>
    <col customWidth="1" min="4" max="4" width="23.0"/>
    <col customWidth="1" min="5" max="5" width="29.0"/>
    <col customWidth="1" min="6" max="7" width="9.0"/>
    <col customWidth="1" min="8" max="8" width="21.0"/>
    <col customWidth="1" min="9" max="9" width="41.0"/>
    <col customWidth="1" min="10" max="26" width="14.0"/>
  </cols>
  <sheetData>
    <row r="1" ht="21.0" customHeight="1">
      <c r="A1" s="19"/>
      <c r="B1" s="19"/>
      <c r="C1" s="20"/>
      <c r="D1" s="21"/>
      <c r="E1" s="21"/>
      <c r="F1" s="22"/>
      <c r="G1" s="21"/>
      <c r="H1" s="22"/>
    </row>
    <row r="2" ht="18.75" customHeight="1">
      <c r="A2" s="69" t="s">
        <v>111</v>
      </c>
      <c r="D2" s="70"/>
      <c r="E2" s="26" t="s">
        <v>112</v>
      </c>
    </row>
    <row r="3" ht="21.0" customHeight="1">
      <c r="A3" s="1"/>
      <c r="D3" s="70"/>
      <c r="E3" s="1" t="s">
        <v>113</v>
      </c>
    </row>
    <row r="4" ht="21.0" customHeight="1">
      <c r="A4" s="70"/>
      <c r="B4" s="70"/>
      <c r="C4" s="70"/>
      <c r="D4" s="70"/>
      <c r="E4" s="26" t="s">
        <v>114</v>
      </c>
    </row>
    <row r="5" ht="21.75" customHeight="1">
      <c r="A5" s="27" t="s">
        <v>115</v>
      </c>
      <c r="I5" s="28" t="s">
        <v>116</v>
      </c>
    </row>
    <row r="6" ht="21.75" customHeight="1">
      <c r="A6" s="29" t="s">
        <v>117</v>
      </c>
      <c r="B6" s="30"/>
      <c r="C6" s="31" t="str">
        <f>+'DANH MỤC'!A2</f>
        <v>Công trình:</v>
      </c>
      <c r="D6" s="32"/>
      <c r="E6" s="32"/>
      <c r="F6" s="32"/>
      <c r="G6" s="32"/>
      <c r="H6" s="32"/>
    </row>
    <row r="7" ht="21.75" customHeight="1">
      <c r="A7" s="29"/>
      <c r="B7" s="32"/>
      <c r="C7" s="33" t="str">
        <f>+'DANH MỤC'!A3</f>
        <v>Địa điểm:</v>
      </c>
      <c r="D7" s="32"/>
      <c r="E7" s="32"/>
      <c r="F7" s="32"/>
      <c r="G7" s="32"/>
      <c r="H7" s="32"/>
    </row>
    <row r="8" ht="21.75" customHeight="1">
      <c r="A8" s="29"/>
      <c r="B8" s="32"/>
      <c r="C8" s="33" t="str">
        <f>"Công tác"&amp;": "&amp;'DANH MỤC'!B45</f>
        <v>Công tác: Treo đá</v>
      </c>
      <c r="D8" s="32"/>
      <c r="E8" s="32"/>
      <c r="F8" s="32"/>
      <c r="G8" s="32"/>
      <c r="H8" s="32"/>
    </row>
    <row r="9" ht="21.75" customHeight="1">
      <c r="A9" s="34"/>
      <c r="B9" s="35"/>
      <c r="C9" s="36"/>
      <c r="D9" s="35"/>
      <c r="E9" s="35"/>
      <c r="F9" s="35"/>
      <c r="G9" s="35"/>
    </row>
    <row r="10" ht="21.75" customHeight="1">
      <c r="A10" s="37" t="s">
        <v>3</v>
      </c>
      <c r="B10" s="37" t="s">
        <v>118</v>
      </c>
      <c r="C10" s="38" t="s">
        <v>119</v>
      </c>
      <c r="D10" s="38" t="s">
        <v>120</v>
      </c>
      <c r="E10" s="38" t="s">
        <v>121</v>
      </c>
      <c r="F10" s="39" t="s">
        <v>122</v>
      </c>
      <c r="G10" s="40"/>
      <c r="H10" s="38" t="s">
        <v>123</v>
      </c>
    </row>
    <row r="11" ht="21.75" customHeight="1">
      <c r="A11" s="41"/>
      <c r="B11" s="41"/>
      <c r="C11" s="41"/>
      <c r="D11" s="41"/>
      <c r="E11" s="41"/>
      <c r="F11" s="42" t="s">
        <v>124</v>
      </c>
      <c r="G11" s="42" t="s">
        <v>125</v>
      </c>
      <c r="H11" s="41"/>
    </row>
    <row r="12" ht="117.75" customHeight="1">
      <c r="A12" s="109"/>
      <c r="B12" s="110" t="s">
        <v>654</v>
      </c>
      <c r="C12" s="81" t="s">
        <v>646</v>
      </c>
      <c r="D12" s="75" t="s">
        <v>655</v>
      </c>
      <c r="E12" s="75" t="s">
        <v>133</v>
      </c>
      <c r="F12" s="107"/>
      <c r="G12" s="107"/>
      <c r="H12" s="80" t="s">
        <v>648</v>
      </c>
    </row>
    <row r="13" ht="40.5" customHeight="1">
      <c r="A13" s="48"/>
      <c r="B13" s="48"/>
      <c r="C13" s="81" t="s">
        <v>656</v>
      </c>
      <c r="D13" s="75" t="s">
        <v>229</v>
      </c>
      <c r="E13" s="75" t="s">
        <v>657</v>
      </c>
      <c r="F13" s="107"/>
      <c r="G13" s="107"/>
      <c r="H13" s="80"/>
    </row>
    <row r="14" ht="150.0" customHeight="1">
      <c r="A14" s="48"/>
      <c r="B14" s="48"/>
      <c r="C14" s="81" t="s">
        <v>658</v>
      </c>
      <c r="D14" s="75" t="s">
        <v>595</v>
      </c>
      <c r="E14" s="75" t="s">
        <v>659</v>
      </c>
      <c r="F14" s="107"/>
      <c r="G14" s="107"/>
      <c r="H14" s="80"/>
    </row>
    <row r="15" ht="54.75" customHeight="1">
      <c r="A15" s="48"/>
      <c r="B15" s="48"/>
      <c r="C15" s="81" t="s">
        <v>660</v>
      </c>
      <c r="D15" s="75" t="s">
        <v>229</v>
      </c>
      <c r="E15" s="75" t="s">
        <v>657</v>
      </c>
      <c r="F15" s="107"/>
      <c r="G15" s="107"/>
      <c r="H15" s="80"/>
    </row>
    <row r="16" ht="267.0" customHeight="1">
      <c r="A16" s="48"/>
      <c r="B16" s="48"/>
      <c r="C16" s="115" t="s">
        <v>661</v>
      </c>
      <c r="D16" s="75" t="s">
        <v>651</v>
      </c>
      <c r="E16" s="119" t="s">
        <v>133</v>
      </c>
      <c r="F16" s="107"/>
      <c r="G16" s="107"/>
      <c r="H16" s="80" t="s">
        <v>662</v>
      </c>
    </row>
    <row r="17" ht="199.5" customHeight="1">
      <c r="A17" s="48"/>
      <c r="B17" s="48"/>
      <c r="C17" s="115" t="s">
        <v>663</v>
      </c>
      <c r="D17" s="75" t="s">
        <v>651</v>
      </c>
      <c r="E17" s="119" t="s">
        <v>133</v>
      </c>
      <c r="F17" s="107"/>
      <c r="G17" s="107"/>
      <c r="H17" s="80" t="s">
        <v>662</v>
      </c>
    </row>
    <row r="18" ht="48.0" customHeight="1">
      <c r="A18" s="41"/>
      <c r="B18" s="41"/>
      <c r="C18" s="115" t="s">
        <v>652</v>
      </c>
      <c r="D18" s="75" t="s">
        <v>229</v>
      </c>
      <c r="E18" s="75" t="s">
        <v>653</v>
      </c>
      <c r="F18" s="117"/>
      <c r="G18" s="120"/>
      <c r="H18" s="80"/>
    </row>
    <row r="19" ht="21.0" customHeight="1">
      <c r="A19" s="52"/>
      <c r="B19" s="52" t="s">
        <v>175</v>
      </c>
      <c r="C19" s="53"/>
      <c r="D19" s="52"/>
      <c r="E19" s="52"/>
      <c r="F19" s="54"/>
      <c r="G19" s="52"/>
      <c r="H19" s="54"/>
    </row>
    <row r="20" ht="21.0" customHeight="1">
      <c r="A20" s="55" t="s">
        <v>176</v>
      </c>
      <c r="B20" s="56"/>
      <c r="C20" s="56"/>
      <c r="D20" s="56"/>
      <c r="E20" s="56"/>
      <c r="F20" s="56"/>
      <c r="G20" s="56"/>
      <c r="H20" s="57"/>
    </row>
    <row r="21" ht="18.75" customHeight="1">
      <c r="A21" s="58"/>
      <c r="H21" s="59"/>
    </row>
    <row r="22" ht="18.75" customHeight="1">
      <c r="A22" s="58"/>
      <c r="H22" s="59"/>
    </row>
    <row r="23" ht="18.75" customHeight="1">
      <c r="A23" s="58"/>
      <c r="H23" s="59"/>
    </row>
    <row r="24" ht="18.75" customHeight="1">
      <c r="A24" s="58"/>
      <c r="H24" s="59"/>
    </row>
    <row r="25" ht="18.75" customHeight="1">
      <c r="A25" s="58"/>
      <c r="H25" s="59"/>
    </row>
    <row r="26" ht="18.75" customHeight="1">
      <c r="A26" s="58"/>
      <c r="H26" s="59"/>
    </row>
    <row r="27" ht="18.75" customHeight="1">
      <c r="A27" s="58"/>
      <c r="H27" s="59"/>
    </row>
    <row r="28" ht="18.75" customHeight="1">
      <c r="A28" s="58"/>
      <c r="H28" s="59"/>
    </row>
    <row r="29" ht="18.75" customHeight="1">
      <c r="A29" s="58"/>
      <c r="H29" s="59"/>
    </row>
    <row r="30" ht="18.75" customHeight="1">
      <c r="A30" s="58"/>
      <c r="H30" s="59"/>
    </row>
    <row r="31" ht="18.75" customHeight="1">
      <c r="A31" s="58"/>
      <c r="H31" s="59"/>
    </row>
    <row r="32" ht="18.75" customHeight="1">
      <c r="A32" s="60"/>
      <c r="B32" s="61"/>
      <c r="C32" s="61"/>
      <c r="D32" s="61"/>
      <c r="E32" s="61"/>
      <c r="F32" s="61"/>
      <c r="G32" s="61"/>
      <c r="H32" s="62"/>
    </row>
    <row r="33" ht="18.75" customHeight="1">
      <c r="A33" s="63" t="s">
        <v>177</v>
      </c>
      <c r="B33" s="56"/>
      <c r="C33" s="56"/>
      <c r="D33" s="56"/>
      <c r="E33" s="56"/>
      <c r="F33" s="56"/>
      <c r="G33" s="56"/>
      <c r="H33" s="57"/>
    </row>
    <row r="34" ht="18.75" customHeight="1">
      <c r="A34" s="58"/>
      <c r="H34" s="59"/>
    </row>
    <row r="35" ht="18.75" customHeight="1">
      <c r="A35" s="58"/>
      <c r="H35" s="59"/>
    </row>
    <row r="36" ht="18.75" customHeight="1">
      <c r="A36" s="60"/>
      <c r="B36" s="61"/>
      <c r="C36" s="61"/>
      <c r="D36" s="61"/>
      <c r="E36" s="61"/>
      <c r="F36" s="61"/>
      <c r="G36" s="61"/>
      <c r="H36" s="62"/>
    </row>
    <row r="37" ht="18.75" customHeight="1"/>
    <row r="38" ht="18.75" customHeight="1"/>
    <row r="39" ht="18.75" customHeight="1"/>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mergeCells count="17">
    <mergeCell ref="B10:B11"/>
    <mergeCell ref="C10:C11"/>
    <mergeCell ref="A12:A18"/>
    <mergeCell ref="B12:B18"/>
    <mergeCell ref="A20:H32"/>
    <mergeCell ref="A33:H36"/>
    <mergeCell ref="D10:D11"/>
    <mergeCell ref="E10:E11"/>
    <mergeCell ref="F10:G10"/>
    <mergeCell ref="H10:H11"/>
    <mergeCell ref="A2:C2"/>
    <mergeCell ref="E2:H2"/>
    <mergeCell ref="A3:C3"/>
    <mergeCell ref="E3:H3"/>
    <mergeCell ref="E4:H4"/>
    <mergeCell ref="A5:H5"/>
    <mergeCell ref="A10:A11"/>
  </mergeCells>
  <hyperlinks>
    <hyperlink display="Ấn để trở về sheet &quot; Danh mục&quot;" location="'DANH MỤC'!A1" ref="I5"/>
  </hyperlinks>
  <drawing r:id="rId1"/>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5.0"/>
    <col customWidth="1" min="2" max="2" width="14.0"/>
    <col customWidth="1" min="3" max="3" width="45.0"/>
    <col customWidth="1" min="4" max="4" width="23.0"/>
    <col customWidth="1" min="5" max="5" width="25.0"/>
    <col customWidth="1" min="6" max="7" width="9.0"/>
    <col customWidth="1" min="8" max="8" width="21.0"/>
    <col customWidth="1" min="9" max="9" width="40.0"/>
    <col customWidth="1" min="10" max="26" width="14.0"/>
  </cols>
  <sheetData>
    <row r="1" ht="21.0" customHeight="1">
      <c r="A1" s="19"/>
      <c r="B1" s="19"/>
      <c r="C1" s="20"/>
      <c r="D1" s="21"/>
      <c r="E1" s="21"/>
      <c r="F1" s="22"/>
      <c r="G1" s="21"/>
      <c r="H1" s="22"/>
    </row>
    <row r="2" ht="18.75" customHeight="1">
      <c r="A2" s="69" t="s">
        <v>111</v>
      </c>
      <c r="D2" s="70"/>
      <c r="E2" s="26" t="s">
        <v>112</v>
      </c>
    </row>
    <row r="3" ht="21.0" customHeight="1">
      <c r="A3" s="1"/>
      <c r="D3" s="70"/>
      <c r="E3" s="1" t="s">
        <v>113</v>
      </c>
    </row>
    <row r="4" ht="21.0" customHeight="1">
      <c r="A4" s="70"/>
      <c r="B4" s="70"/>
      <c r="C4" s="70"/>
      <c r="D4" s="70"/>
      <c r="E4" s="26" t="s">
        <v>114</v>
      </c>
    </row>
    <row r="5" ht="21.75" customHeight="1">
      <c r="A5" s="27" t="s">
        <v>115</v>
      </c>
      <c r="I5" s="28" t="s">
        <v>116</v>
      </c>
    </row>
    <row r="6" ht="21.75" customHeight="1">
      <c r="A6" s="29" t="s">
        <v>117</v>
      </c>
      <c r="B6" s="30"/>
      <c r="C6" s="31" t="str">
        <f>+'DANH MỤC'!A2</f>
        <v>Công trình:</v>
      </c>
      <c r="D6" s="32"/>
      <c r="E6" s="32"/>
      <c r="F6" s="32"/>
      <c r="G6" s="32"/>
      <c r="H6" s="32"/>
    </row>
    <row r="7" ht="21.75" customHeight="1">
      <c r="A7" s="29"/>
      <c r="B7" s="32"/>
      <c r="C7" s="33" t="str">
        <f>+'DANH MỤC'!A3</f>
        <v>Địa điểm:</v>
      </c>
      <c r="D7" s="32"/>
      <c r="E7" s="32"/>
      <c r="F7" s="32"/>
      <c r="G7" s="32"/>
      <c r="H7" s="32"/>
    </row>
    <row r="8" ht="21.75" customHeight="1">
      <c r="A8" s="29"/>
      <c r="B8" s="32"/>
      <c r="C8" s="33" t="str">
        <f>"Công tác"&amp;": "&amp;'DANH MỤC'!B46</f>
        <v>Công tác: Bả</v>
      </c>
      <c r="D8" s="32"/>
      <c r="E8" s="32"/>
      <c r="F8" s="32"/>
      <c r="G8" s="32"/>
      <c r="H8" s="32"/>
    </row>
    <row r="9" ht="21.75" customHeight="1">
      <c r="A9" s="34"/>
      <c r="B9" s="35"/>
      <c r="C9" s="36"/>
      <c r="D9" s="35"/>
      <c r="E9" s="35"/>
      <c r="F9" s="35"/>
      <c r="G9" s="35"/>
    </row>
    <row r="10" ht="21.75" customHeight="1">
      <c r="A10" s="37" t="s">
        <v>3</v>
      </c>
      <c r="B10" s="37" t="s">
        <v>118</v>
      </c>
      <c r="C10" s="38" t="s">
        <v>119</v>
      </c>
      <c r="D10" s="38" t="s">
        <v>120</v>
      </c>
      <c r="E10" s="38" t="s">
        <v>121</v>
      </c>
      <c r="F10" s="39" t="s">
        <v>122</v>
      </c>
      <c r="G10" s="40"/>
      <c r="H10" s="38" t="s">
        <v>123</v>
      </c>
    </row>
    <row r="11" ht="21.75" customHeight="1">
      <c r="A11" s="41"/>
      <c r="B11" s="41"/>
      <c r="C11" s="41"/>
      <c r="D11" s="41"/>
      <c r="E11" s="41"/>
      <c r="F11" s="42" t="s">
        <v>124</v>
      </c>
      <c r="G11" s="42" t="s">
        <v>125</v>
      </c>
      <c r="H11" s="41"/>
    </row>
    <row r="12" ht="105.0" customHeight="1">
      <c r="A12" s="109"/>
      <c r="B12" s="110"/>
      <c r="C12" s="81" t="s">
        <v>664</v>
      </c>
      <c r="D12" s="75" t="s">
        <v>506</v>
      </c>
      <c r="E12" s="75" t="s">
        <v>133</v>
      </c>
      <c r="F12" s="107"/>
      <c r="G12" s="107"/>
      <c r="H12" s="80" t="s">
        <v>665</v>
      </c>
    </row>
    <row r="13" ht="115.5" customHeight="1">
      <c r="A13" s="48"/>
      <c r="B13" s="48"/>
      <c r="C13" s="81" t="s">
        <v>666</v>
      </c>
      <c r="D13" s="75" t="s">
        <v>667</v>
      </c>
      <c r="E13" s="75" t="s">
        <v>133</v>
      </c>
      <c r="F13" s="107"/>
      <c r="G13" s="107"/>
      <c r="H13" s="80" t="s">
        <v>665</v>
      </c>
    </row>
    <row r="14" ht="33.75" customHeight="1">
      <c r="A14" s="48"/>
      <c r="B14" s="48"/>
      <c r="C14" s="81" t="s">
        <v>668</v>
      </c>
      <c r="D14" s="75" t="s">
        <v>554</v>
      </c>
      <c r="E14" s="75" t="s">
        <v>669</v>
      </c>
      <c r="F14" s="107"/>
      <c r="G14" s="107"/>
      <c r="H14" s="80" t="s">
        <v>670</v>
      </c>
    </row>
    <row r="15" ht="84.75" customHeight="1">
      <c r="A15" s="48"/>
      <c r="B15" s="48"/>
      <c r="C15" s="81" t="s">
        <v>671</v>
      </c>
      <c r="D15" s="75" t="s">
        <v>595</v>
      </c>
      <c r="E15" s="75" t="s">
        <v>672</v>
      </c>
      <c r="F15" s="107"/>
      <c r="G15" s="107"/>
      <c r="H15" s="80" t="s">
        <v>670</v>
      </c>
    </row>
    <row r="16" ht="105.75" customHeight="1">
      <c r="A16" s="41"/>
      <c r="B16" s="41"/>
      <c r="C16" s="81" t="s">
        <v>673</v>
      </c>
      <c r="D16" s="75" t="s">
        <v>528</v>
      </c>
      <c r="E16" s="75" t="s">
        <v>674</v>
      </c>
      <c r="F16" s="107"/>
      <c r="G16" s="107"/>
      <c r="H16" s="80" t="s">
        <v>665</v>
      </c>
    </row>
    <row r="17" ht="21.0" customHeight="1">
      <c r="A17" s="52"/>
      <c r="B17" s="52" t="s">
        <v>175</v>
      </c>
      <c r="C17" s="53"/>
      <c r="D17" s="52"/>
      <c r="E17" s="52"/>
      <c r="F17" s="54"/>
      <c r="G17" s="52"/>
      <c r="H17" s="54"/>
    </row>
    <row r="18" ht="21.0" customHeight="1">
      <c r="A18" s="55" t="s">
        <v>176</v>
      </c>
      <c r="B18" s="56"/>
      <c r="C18" s="56"/>
      <c r="D18" s="56"/>
      <c r="E18" s="56"/>
      <c r="F18" s="56"/>
      <c r="G18" s="56"/>
      <c r="H18" s="57"/>
    </row>
    <row r="19" ht="21.0" customHeight="1">
      <c r="A19" s="58"/>
      <c r="H19" s="59"/>
    </row>
    <row r="20" ht="21.0" customHeight="1">
      <c r="A20" s="58"/>
      <c r="H20" s="59"/>
    </row>
    <row r="21" ht="18.75" customHeight="1">
      <c r="A21" s="58"/>
      <c r="H21" s="59"/>
    </row>
    <row r="22" ht="18.75" customHeight="1">
      <c r="A22" s="58"/>
      <c r="H22" s="59"/>
    </row>
    <row r="23" ht="18.75" customHeight="1">
      <c r="A23" s="58"/>
      <c r="H23" s="59"/>
    </row>
    <row r="24" ht="18.75" customHeight="1">
      <c r="A24" s="58"/>
      <c r="H24" s="59"/>
    </row>
    <row r="25" ht="18.75" customHeight="1">
      <c r="A25" s="58"/>
      <c r="H25" s="59"/>
    </row>
    <row r="26" ht="18.75" customHeight="1">
      <c r="A26" s="58"/>
      <c r="H26" s="59"/>
    </row>
    <row r="27" ht="18.75" customHeight="1">
      <c r="A27" s="58"/>
      <c r="H27" s="59"/>
    </row>
    <row r="28" ht="18.75" customHeight="1">
      <c r="A28" s="58"/>
      <c r="H28" s="59"/>
    </row>
    <row r="29" ht="18.75" customHeight="1">
      <c r="A29" s="58"/>
      <c r="H29" s="59"/>
    </row>
    <row r="30" ht="18.75" customHeight="1">
      <c r="A30" s="60"/>
      <c r="B30" s="61"/>
      <c r="C30" s="61"/>
      <c r="D30" s="61"/>
      <c r="E30" s="61"/>
      <c r="F30" s="61"/>
      <c r="G30" s="61"/>
      <c r="H30" s="62"/>
    </row>
    <row r="31" ht="18.75" customHeight="1">
      <c r="A31" s="63" t="s">
        <v>177</v>
      </c>
      <c r="B31" s="56"/>
      <c r="C31" s="56"/>
      <c r="D31" s="56"/>
      <c r="E31" s="56"/>
      <c r="F31" s="56"/>
      <c r="G31" s="56"/>
      <c r="H31" s="57"/>
    </row>
    <row r="32" ht="18.75" customHeight="1">
      <c r="A32" s="58"/>
      <c r="H32" s="59"/>
    </row>
    <row r="33" ht="18.75" customHeight="1">
      <c r="A33" s="58"/>
      <c r="H33" s="59"/>
    </row>
    <row r="34" ht="18.75" customHeight="1">
      <c r="A34" s="60"/>
      <c r="B34" s="61"/>
      <c r="C34" s="61"/>
      <c r="D34" s="61"/>
      <c r="E34" s="61"/>
      <c r="F34" s="61"/>
      <c r="G34" s="61"/>
      <c r="H34" s="62"/>
    </row>
    <row r="35" ht="18.75" customHeight="1"/>
    <row r="36" ht="18.75" customHeight="1"/>
    <row r="37" ht="18.75" customHeight="1"/>
    <row r="38" ht="18.75" customHeight="1"/>
    <row r="39" ht="18.75" customHeight="1"/>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mergeCells count="17">
    <mergeCell ref="B10:B11"/>
    <mergeCell ref="C10:C11"/>
    <mergeCell ref="A12:A16"/>
    <mergeCell ref="B12:B16"/>
    <mergeCell ref="A18:H30"/>
    <mergeCell ref="A31:H34"/>
    <mergeCell ref="D10:D11"/>
    <mergeCell ref="E10:E11"/>
    <mergeCell ref="F10:G10"/>
    <mergeCell ref="H10:H11"/>
    <mergeCell ref="A2:C2"/>
    <mergeCell ref="E2:H2"/>
    <mergeCell ref="A3:C3"/>
    <mergeCell ref="E3:H3"/>
    <mergeCell ref="E4:H4"/>
    <mergeCell ref="A5:H5"/>
    <mergeCell ref="A10:A11"/>
  </mergeCells>
  <hyperlinks>
    <hyperlink display="Ấn để trở về sheet &quot; Danh mục&quot;" location="'DANH MỤC'!A1" ref="I5"/>
  </hyperlinks>
  <drawing r:id="rId1"/>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5.0"/>
    <col customWidth="1" min="2" max="2" width="14.0"/>
    <col customWidth="1" min="3" max="3" width="43.0"/>
    <col customWidth="1" min="4" max="4" width="23.0"/>
    <col customWidth="1" min="5" max="5" width="27.0"/>
    <col customWidth="1" min="6" max="7" width="9.0"/>
    <col customWidth="1" min="8" max="8" width="21.0"/>
    <col customWidth="1" min="9" max="9" width="43.0"/>
    <col customWidth="1" min="10" max="26" width="14.0"/>
  </cols>
  <sheetData>
    <row r="1" ht="21.0" customHeight="1">
      <c r="A1" s="19"/>
      <c r="B1" s="19"/>
      <c r="C1" s="20"/>
      <c r="D1" s="21"/>
      <c r="E1" s="21"/>
      <c r="F1" s="22"/>
      <c r="G1" s="21"/>
      <c r="H1" s="22"/>
    </row>
    <row r="2" ht="18.75" customHeight="1">
      <c r="A2" s="69" t="s">
        <v>111</v>
      </c>
      <c r="D2" s="70"/>
      <c r="E2" s="26" t="s">
        <v>112</v>
      </c>
    </row>
    <row r="3" ht="21.0" customHeight="1">
      <c r="A3" s="1"/>
      <c r="D3" s="70"/>
      <c r="E3" s="1" t="s">
        <v>113</v>
      </c>
    </row>
    <row r="4" ht="21.0" customHeight="1">
      <c r="A4" s="70"/>
      <c r="B4" s="70"/>
      <c r="C4" s="70"/>
      <c r="D4" s="70"/>
      <c r="E4" s="26" t="s">
        <v>114</v>
      </c>
    </row>
    <row r="5" ht="21.75" customHeight="1">
      <c r="A5" s="27" t="s">
        <v>115</v>
      </c>
      <c r="I5" s="28" t="s">
        <v>116</v>
      </c>
    </row>
    <row r="6" ht="21.75" customHeight="1">
      <c r="A6" s="29" t="s">
        <v>117</v>
      </c>
      <c r="B6" s="30"/>
      <c r="C6" s="31" t="str">
        <f>+'DANH MỤC'!A2</f>
        <v>Công trình:</v>
      </c>
      <c r="D6" s="32"/>
      <c r="E6" s="32"/>
      <c r="F6" s="32"/>
      <c r="G6" s="32"/>
      <c r="H6" s="32"/>
    </row>
    <row r="7" ht="21.75" customHeight="1">
      <c r="A7" s="29"/>
      <c r="B7" s="32"/>
      <c r="C7" s="33" t="str">
        <f>+'DANH MỤC'!A3</f>
        <v>Địa điểm:</v>
      </c>
      <c r="D7" s="32"/>
      <c r="E7" s="32"/>
      <c r="F7" s="32"/>
      <c r="G7" s="32"/>
      <c r="H7" s="32"/>
    </row>
    <row r="8" ht="21.75" customHeight="1">
      <c r="A8" s="29"/>
      <c r="B8" s="32"/>
      <c r="C8" s="33" t="str">
        <f>"Công tác"&amp;": "&amp;'DANH MỤC'!B47</f>
        <v>Công tác: Sơn</v>
      </c>
      <c r="D8" s="32"/>
      <c r="E8" s="32"/>
      <c r="F8" s="32"/>
      <c r="G8" s="32"/>
      <c r="H8" s="32"/>
    </row>
    <row r="9" ht="21.75" customHeight="1">
      <c r="A9" s="34"/>
      <c r="B9" s="35"/>
      <c r="C9" s="36"/>
      <c r="D9" s="35"/>
      <c r="E9" s="35"/>
      <c r="F9" s="35"/>
      <c r="G9" s="35"/>
    </row>
    <row r="10" ht="21.75" customHeight="1">
      <c r="A10" s="37" t="s">
        <v>3</v>
      </c>
      <c r="B10" s="37" t="s">
        <v>118</v>
      </c>
      <c r="C10" s="38" t="s">
        <v>119</v>
      </c>
      <c r="D10" s="38" t="s">
        <v>120</v>
      </c>
      <c r="E10" s="38" t="s">
        <v>121</v>
      </c>
      <c r="F10" s="39" t="s">
        <v>122</v>
      </c>
      <c r="G10" s="40"/>
      <c r="H10" s="38" t="s">
        <v>123</v>
      </c>
    </row>
    <row r="11" ht="21.75" customHeight="1">
      <c r="A11" s="41"/>
      <c r="B11" s="41"/>
      <c r="C11" s="41"/>
      <c r="D11" s="41"/>
      <c r="E11" s="41"/>
      <c r="F11" s="42" t="s">
        <v>124</v>
      </c>
      <c r="G11" s="42" t="s">
        <v>125</v>
      </c>
      <c r="H11" s="41"/>
    </row>
    <row r="12" ht="69.0" customHeight="1">
      <c r="A12" s="109"/>
      <c r="B12" s="110" t="s">
        <v>675</v>
      </c>
      <c r="C12" s="81" t="s">
        <v>676</v>
      </c>
      <c r="D12" s="75" t="s">
        <v>506</v>
      </c>
      <c r="E12" s="46" t="s">
        <v>129</v>
      </c>
      <c r="F12" s="107"/>
      <c r="G12" s="107"/>
      <c r="H12" s="80"/>
    </row>
    <row r="13" ht="57.0" customHeight="1">
      <c r="A13" s="48"/>
      <c r="B13" s="48"/>
      <c r="C13" s="81" t="s">
        <v>677</v>
      </c>
      <c r="D13" s="75" t="s">
        <v>678</v>
      </c>
      <c r="E13" s="75" t="s">
        <v>679</v>
      </c>
      <c r="F13" s="107"/>
      <c r="G13" s="107"/>
      <c r="H13" s="80" t="s">
        <v>680</v>
      </c>
    </row>
    <row r="14" ht="63.0" customHeight="1">
      <c r="A14" s="48"/>
      <c r="B14" s="48"/>
      <c r="C14" s="81" t="s">
        <v>681</v>
      </c>
      <c r="D14" s="75" t="s">
        <v>595</v>
      </c>
      <c r="E14" s="75" t="s">
        <v>682</v>
      </c>
      <c r="F14" s="107"/>
      <c r="G14" s="107"/>
      <c r="H14" s="80" t="s">
        <v>683</v>
      </c>
    </row>
    <row r="15" ht="97.5" customHeight="1">
      <c r="A15" s="48"/>
      <c r="B15" s="48"/>
      <c r="C15" s="81" t="s">
        <v>684</v>
      </c>
      <c r="D15" s="75" t="s">
        <v>595</v>
      </c>
      <c r="E15" s="75" t="s">
        <v>133</v>
      </c>
      <c r="F15" s="107"/>
      <c r="G15" s="107"/>
      <c r="H15" s="80" t="s">
        <v>685</v>
      </c>
    </row>
    <row r="16" ht="118.5" customHeight="1">
      <c r="A16" s="41"/>
      <c r="B16" s="41"/>
      <c r="C16" s="81" t="s">
        <v>686</v>
      </c>
      <c r="D16" s="75" t="s">
        <v>554</v>
      </c>
      <c r="E16" s="75" t="s">
        <v>687</v>
      </c>
      <c r="F16" s="107"/>
      <c r="G16" s="107" t="s">
        <v>688</v>
      </c>
      <c r="H16" s="80" t="s">
        <v>683</v>
      </c>
    </row>
    <row r="17" ht="21.0" customHeight="1">
      <c r="A17" s="52"/>
      <c r="B17" s="52" t="s">
        <v>175</v>
      </c>
      <c r="C17" s="53"/>
      <c r="D17" s="52"/>
      <c r="E17" s="52"/>
      <c r="F17" s="54"/>
      <c r="G17" s="52"/>
      <c r="H17" s="54"/>
    </row>
    <row r="18" ht="21.0" customHeight="1">
      <c r="A18" s="55" t="s">
        <v>176</v>
      </c>
      <c r="B18" s="56"/>
      <c r="C18" s="56"/>
      <c r="D18" s="56"/>
      <c r="E18" s="56"/>
      <c r="F18" s="56"/>
      <c r="G18" s="56"/>
      <c r="H18" s="57"/>
    </row>
    <row r="19" ht="21.0" customHeight="1">
      <c r="A19" s="58"/>
      <c r="H19" s="59"/>
    </row>
    <row r="20" ht="21.0" customHeight="1">
      <c r="A20" s="58"/>
      <c r="H20" s="59"/>
    </row>
    <row r="21" ht="18.75" customHeight="1">
      <c r="A21" s="58"/>
      <c r="H21" s="59"/>
    </row>
    <row r="22" ht="18.75" customHeight="1">
      <c r="A22" s="58"/>
      <c r="H22" s="59"/>
    </row>
    <row r="23" ht="18.75" customHeight="1">
      <c r="A23" s="58"/>
      <c r="H23" s="59"/>
    </row>
    <row r="24" ht="18.75" customHeight="1">
      <c r="A24" s="58"/>
      <c r="H24" s="59"/>
    </row>
    <row r="25" ht="18.75" customHeight="1">
      <c r="A25" s="58"/>
      <c r="H25" s="59"/>
    </row>
    <row r="26" ht="18.75" customHeight="1">
      <c r="A26" s="58"/>
      <c r="H26" s="59"/>
    </row>
    <row r="27" ht="18.75" customHeight="1">
      <c r="A27" s="58"/>
      <c r="H27" s="59"/>
    </row>
    <row r="28" ht="18.75" customHeight="1">
      <c r="A28" s="58"/>
      <c r="H28" s="59"/>
    </row>
    <row r="29" ht="18.75" customHeight="1">
      <c r="A29" s="58"/>
      <c r="H29" s="59"/>
    </row>
    <row r="30" ht="18.75" customHeight="1">
      <c r="A30" s="60"/>
      <c r="B30" s="61"/>
      <c r="C30" s="61"/>
      <c r="D30" s="61"/>
      <c r="E30" s="61"/>
      <c r="F30" s="61"/>
      <c r="G30" s="61"/>
      <c r="H30" s="62"/>
    </row>
    <row r="31" ht="18.75" customHeight="1">
      <c r="A31" s="63" t="s">
        <v>177</v>
      </c>
      <c r="B31" s="56"/>
      <c r="C31" s="56"/>
      <c r="D31" s="56"/>
      <c r="E31" s="56"/>
      <c r="F31" s="56"/>
      <c r="G31" s="56"/>
      <c r="H31" s="57"/>
    </row>
    <row r="32" ht="18.75" customHeight="1">
      <c r="A32" s="58"/>
      <c r="H32" s="59"/>
    </row>
    <row r="33" ht="18.75" customHeight="1">
      <c r="A33" s="58"/>
      <c r="H33" s="59"/>
    </row>
    <row r="34" ht="18.75" customHeight="1">
      <c r="A34" s="60"/>
      <c r="B34" s="61"/>
      <c r="C34" s="61"/>
      <c r="D34" s="61"/>
      <c r="E34" s="61"/>
      <c r="F34" s="61"/>
      <c r="G34" s="61"/>
      <c r="H34" s="62"/>
    </row>
    <row r="35" ht="18.75" customHeight="1"/>
    <row r="36" ht="18.75" customHeight="1"/>
    <row r="37" ht="18.75" customHeight="1"/>
    <row r="38" ht="18.75" customHeight="1"/>
    <row r="39" ht="18.75" customHeight="1"/>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mergeCells count="17">
    <mergeCell ref="B10:B11"/>
    <mergeCell ref="C10:C11"/>
    <mergeCell ref="A12:A16"/>
    <mergeCell ref="B12:B16"/>
    <mergeCell ref="A18:H30"/>
    <mergeCell ref="A31:H34"/>
    <mergeCell ref="D10:D11"/>
    <mergeCell ref="E10:E11"/>
    <mergeCell ref="F10:G10"/>
    <mergeCell ref="H10:H11"/>
    <mergeCell ref="A2:C2"/>
    <mergeCell ref="E2:H2"/>
    <mergeCell ref="A3:C3"/>
    <mergeCell ref="E3:H3"/>
    <mergeCell ref="E4:H4"/>
    <mergeCell ref="A5:H5"/>
    <mergeCell ref="A10:A11"/>
  </mergeCells>
  <hyperlinks>
    <hyperlink display="Ấn để trở về sheet &quot; Danh mục&quot;" location="'DANH MỤC'!A1" ref="I5"/>
  </hyperlinks>
  <drawing r:id="rId1"/>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5.0"/>
    <col customWidth="1" min="2" max="2" width="14.0"/>
    <col customWidth="1" min="3" max="3" width="43.0"/>
    <col customWidth="1" min="4" max="4" width="25.0"/>
    <col customWidth="1" min="5" max="5" width="27.0"/>
    <col customWidth="1" min="6" max="7" width="9.0"/>
    <col customWidth="1" min="8" max="8" width="21.0"/>
    <col customWidth="1" min="9" max="9" width="42.0"/>
    <col customWidth="1" min="10" max="26" width="14.0"/>
  </cols>
  <sheetData>
    <row r="1" ht="21.0" customHeight="1">
      <c r="A1" s="19"/>
      <c r="B1" s="19"/>
      <c r="C1" s="20"/>
      <c r="D1" s="21"/>
      <c r="E1" s="21"/>
      <c r="F1" s="22"/>
      <c r="G1" s="21"/>
      <c r="H1" s="22"/>
    </row>
    <row r="2" ht="18.75" customHeight="1">
      <c r="A2" s="69" t="s">
        <v>111</v>
      </c>
      <c r="D2" s="70"/>
      <c r="E2" s="26" t="s">
        <v>112</v>
      </c>
    </row>
    <row r="3" ht="21.0" customHeight="1">
      <c r="A3" s="1"/>
      <c r="D3" s="70"/>
      <c r="E3" s="1" t="s">
        <v>113</v>
      </c>
    </row>
    <row r="4" ht="21.0" customHeight="1">
      <c r="A4" s="70"/>
      <c r="B4" s="70"/>
      <c r="C4" s="70"/>
      <c r="D4" s="70"/>
      <c r="E4" s="26" t="s">
        <v>114</v>
      </c>
    </row>
    <row r="5" ht="21.75" customHeight="1">
      <c r="A5" s="27" t="s">
        <v>115</v>
      </c>
      <c r="I5" s="28" t="s">
        <v>116</v>
      </c>
    </row>
    <row r="6" ht="21.75" customHeight="1">
      <c r="A6" s="29" t="s">
        <v>117</v>
      </c>
      <c r="B6" s="30"/>
      <c r="C6" s="31" t="str">
        <f>+'DANH MỤC'!A2</f>
        <v>Công trình:</v>
      </c>
      <c r="D6" s="32"/>
      <c r="E6" s="32"/>
      <c r="F6" s="32"/>
      <c r="G6" s="32"/>
      <c r="H6" s="32"/>
    </row>
    <row r="7" ht="21.75" customHeight="1">
      <c r="A7" s="29"/>
      <c r="B7" s="32"/>
      <c r="C7" s="33" t="str">
        <f>+'DANH MỤC'!A3</f>
        <v>Địa điểm:</v>
      </c>
      <c r="D7" s="32"/>
      <c r="E7" s="32"/>
      <c r="F7" s="32"/>
      <c r="G7" s="32"/>
      <c r="H7" s="32"/>
    </row>
    <row r="8" ht="21.75" customHeight="1">
      <c r="A8" s="29"/>
      <c r="B8" s="32"/>
      <c r="C8" s="33" t="str">
        <f>"Công tác"&amp;": "&amp;'DANH MỤC'!B48</f>
        <v>Công tác: Trần thạch cao</v>
      </c>
      <c r="D8" s="32"/>
      <c r="E8" s="32"/>
      <c r="F8" s="32"/>
      <c r="G8" s="32"/>
      <c r="H8" s="32"/>
    </row>
    <row r="9" ht="21.75" customHeight="1">
      <c r="A9" s="34"/>
      <c r="B9" s="35"/>
      <c r="C9" s="36"/>
      <c r="D9" s="35"/>
      <c r="E9" s="35"/>
      <c r="F9" s="35"/>
      <c r="G9" s="35"/>
    </row>
    <row r="10" ht="21.75" customHeight="1">
      <c r="A10" s="37" t="s">
        <v>3</v>
      </c>
      <c r="B10" s="37" t="s">
        <v>118</v>
      </c>
      <c r="C10" s="38" t="s">
        <v>119</v>
      </c>
      <c r="D10" s="38" t="s">
        <v>120</v>
      </c>
      <c r="E10" s="38" t="s">
        <v>121</v>
      </c>
      <c r="F10" s="39" t="s">
        <v>122</v>
      </c>
      <c r="G10" s="40"/>
      <c r="H10" s="38" t="s">
        <v>123</v>
      </c>
    </row>
    <row r="11" ht="21.75" customHeight="1">
      <c r="A11" s="41"/>
      <c r="B11" s="41"/>
      <c r="C11" s="41"/>
      <c r="D11" s="41"/>
      <c r="E11" s="41"/>
      <c r="F11" s="42" t="s">
        <v>124</v>
      </c>
      <c r="G11" s="42" t="s">
        <v>125</v>
      </c>
      <c r="H11" s="41"/>
    </row>
    <row r="12" ht="105.75" customHeight="1">
      <c r="A12" s="109"/>
      <c r="B12" s="110" t="s">
        <v>689</v>
      </c>
      <c r="C12" s="81" t="s">
        <v>690</v>
      </c>
      <c r="D12" s="75" t="s">
        <v>691</v>
      </c>
      <c r="E12" s="75" t="s">
        <v>133</v>
      </c>
      <c r="F12" s="107"/>
      <c r="G12" s="107"/>
      <c r="H12" s="80" t="s">
        <v>692</v>
      </c>
    </row>
    <row r="13" ht="103.5" customHeight="1">
      <c r="A13" s="48"/>
      <c r="B13" s="48"/>
      <c r="C13" s="81" t="s">
        <v>693</v>
      </c>
      <c r="D13" s="81" t="s">
        <v>694</v>
      </c>
      <c r="E13" s="75" t="s">
        <v>133</v>
      </c>
      <c r="F13" s="107"/>
      <c r="G13" s="107"/>
      <c r="H13" s="80"/>
    </row>
    <row r="14" ht="75.0" customHeight="1">
      <c r="A14" s="48"/>
      <c r="B14" s="48"/>
      <c r="C14" s="81" t="s">
        <v>695</v>
      </c>
      <c r="D14" s="81" t="s">
        <v>229</v>
      </c>
      <c r="E14" s="75" t="s">
        <v>696</v>
      </c>
      <c r="F14" s="107"/>
      <c r="G14" s="107"/>
      <c r="H14" s="80"/>
    </row>
    <row r="15" ht="96.75" customHeight="1">
      <c r="A15" s="48"/>
      <c r="B15" s="48"/>
      <c r="C15" s="81" t="s">
        <v>697</v>
      </c>
      <c r="D15" s="81" t="s">
        <v>694</v>
      </c>
      <c r="E15" s="75" t="s">
        <v>133</v>
      </c>
      <c r="F15" s="107"/>
      <c r="G15" s="107"/>
      <c r="H15" s="80"/>
    </row>
    <row r="16" ht="174.75" customHeight="1">
      <c r="A16" s="48"/>
      <c r="B16" s="48"/>
      <c r="C16" s="81" t="s">
        <v>698</v>
      </c>
      <c r="D16" s="81" t="s">
        <v>694</v>
      </c>
      <c r="E16" s="121" t="s">
        <v>133</v>
      </c>
      <c r="F16" s="107"/>
      <c r="G16" s="107"/>
      <c r="H16" s="80"/>
    </row>
    <row r="17" ht="60.0" customHeight="1">
      <c r="A17" s="41"/>
      <c r="B17" s="41"/>
      <c r="C17" s="81" t="s">
        <v>606</v>
      </c>
      <c r="D17" s="75" t="s">
        <v>554</v>
      </c>
      <c r="E17" s="75" t="s">
        <v>699</v>
      </c>
      <c r="F17" s="107"/>
      <c r="G17" s="107" t="s">
        <v>688</v>
      </c>
      <c r="H17" s="80"/>
    </row>
    <row r="18" ht="21.0" customHeight="1">
      <c r="A18" s="52"/>
      <c r="B18" s="52" t="s">
        <v>175</v>
      </c>
      <c r="C18" s="53"/>
      <c r="D18" s="52"/>
      <c r="E18" s="52"/>
      <c r="F18" s="54"/>
      <c r="G18" s="52"/>
      <c r="H18" s="54"/>
    </row>
    <row r="19" ht="21.0" customHeight="1">
      <c r="A19" s="55" t="s">
        <v>176</v>
      </c>
      <c r="B19" s="56"/>
      <c r="C19" s="56"/>
      <c r="D19" s="56"/>
      <c r="E19" s="56"/>
      <c r="F19" s="56"/>
      <c r="G19" s="56"/>
      <c r="H19" s="57"/>
    </row>
    <row r="20" ht="21.0" customHeight="1">
      <c r="A20" s="58"/>
      <c r="H20" s="59"/>
    </row>
    <row r="21" ht="18.75" customHeight="1">
      <c r="A21" s="58"/>
      <c r="H21" s="59"/>
    </row>
    <row r="22" ht="18.75" customHeight="1">
      <c r="A22" s="58"/>
      <c r="H22" s="59"/>
    </row>
    <row r="23" ht="18.75" customHeight="1">
      <c r="A23" s="58"/>
      <c r="H23" s="59"/>
    </row>
    <row r="24" ht="18.75" customHeight="1">
      <c r="A24" s="58"/>
      <c r="H24" s="59"/>
    </row>
    <row r="25" ht="18.75" customHeight="1">
      <c r="A25" s="58"/>
      <c r="H25" s="59"/>
    </row>
    <row r="26" ht="18.75" customHeight="1">
      <c r="A26" s="58"/>
      <c r="H26" s="59"/>
    </row>
    <row r="27" ht="18.75" customHeight="1">
      <c r="A27" s="58"/>
      <c r="H27" s="59"/>
    </row>
    <row r="28" ht="18.75" customHeight="1">
      <c r="A28" s="58"/>
      <c r="H28" s="59"/>
    </row>
    <row r="29" ht="18.75" customHeight="1">
      <c r="A29" s="58"/>
      <c r="H29" s="59"/>
    </row>
    <row r="30" ht="18.75" customHeight="1">
      <c r="A30" s="58"/>
      <c r="H30" s="59"/>
    </row>
    <row r="31" ht="18.75" customHeight="1">
      <c r="A31" s="60"/>
      <c r="B31" s="61"/>
      <c r="C31" s="61"/>
      <c r="D31" s="61"/>
      <c r="E31" s="61"/>
      <c r="F31" s="61"/>
      <c r="G31" s="61"/>
      <c r="H31" s="62"/>
    </row>
    <row r="32" ht="18.75" customHeight="1">
      <c r="A32" s="63" t="s">
        <v>177</v>
      </c>
      <c r="B32" s="56"/>
      <c r="C32" s="56"/>
      <c r="D32" s="56"/>
      <c r="E32" s="56"/>
      <c r="F32" s="56"/>
      <c r="G32" s="56"/>
      <c r="H32" s="57"/>
    </row>
    <row r="33" ht="18.75" customHeight="1">
      <c r="A33" s="58"/>
      <c r="H33" s="59"/>
    </row>
    <row r="34" ht="18.75" customHeight="1">
      <c r="A34" s="58"/>
      <c r="H34" s="59"/>
    </row>
    <row r="35" ht="18.75" customHeight="1">
      <c r="A35" s="60"/>
      <c r="B35" s="61"/>
      <c r="C35" s="61"/>
      <c r="D35" s="61"/>
      <c r="E35" s="61"/>
      <c r="F35" s="61"/>
      <c r="G35" s="61"/>
      <c r="H35" s="62"/>
    </row>
    <row r="36" ht="18.75" customHeight="1"/>
    <row r="37" ht="18.75" customHeight="1"/>
    <row r="38" ht="18.75" customHeight="1"/>
    <row r="39" ht="18.75" customHeight="1"/>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mergeCells count="17">
    <mergeCell ref="B10:B11"/>
    <mergeCell ref="C10:C11"/>
    <mergeCell ref="A12:A17"/>
    <mergeCell ref="B12:B17"/>
    <mergeCell ref="A19:H31"/>
    <mergeCell ref="A32:H35"/>
    <mergeCell ref="D10:D11"/>
    <mergeCell ref="E10:E11"/>
    <mergeCell ref="F10:G10"/>
    <mergeCell ref="H10:H11"/>
    <mergeCell ref="A2:C2"/>
    <mergeCell ref="E2:H2"/>
    <mergeCell ref="A3:C3"/>
    <mergeCell ref="E3:H3"/>
    <mergeCell ref="E4:H4"/>
    <mergeCell ref="A5:H5"/>
    <mergeCell ref="A10:A11"/>
  </mergeCells>
  <hyperlinks>
    <hyperlink display="Ấn để trở về sheet &quot; Danh mục&quot;" location="'DANH MỤC'!A1" ref="I5"/>
  </hyperlinks>
  <drawing r:id="rId1"/>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5.0"/>
    <col customWidth="1" min="2" max="2" width="14.0"/>
    <col customWidth="1" min="3" max="3" width="43.0"/>
    <col customWidth="1" min="4" max="4" width="25.0"/>
    <col customWidth="1" min="5" max="5" width="27.0"/>
    <col customWidth="1" min="6" max="7" width="9.0"/>
    <col customWidth="1" min="8" max="8" width="21.0"/>
    <col customWidth="1" min="9" max="9" width="42.0"/>
    <col customWidth="1" min="10" max="26" width="14.0"/>
  </cols>
  <sheetData>
    <row r="1" ht="21.0" customHeight="1">
      <c r="A1" s="19"/>
      <c r="B1" s="19"/>
      <c r="C1" s="20"/>
      <c r="D1" s="21"/>
      <c r="E1" s="21"/>
      <c r="F1" s="22"/>
      <c r="G1" s="21"/>
      <c r="H1" s="22"/>
    </row>
    <row r="2" ht="18.75" customHeight="1">
      <c r="A2" s="69" t="s">
        <v>111</v>
      </c>
      <c r="D2" s="70"/>
      <c r="E2" s="26" t="s">
        <v>112</v>
      </c>
    </row>
    <row r="3" ht="21.0" customHeight="1">
      <c r="A3" s="1"/>
      <c r="D3" s="70"/>
      <c r="E3" s="1" t="s">
        <v>113</v>
      </c>
    </row>
    <row r="4" ht="21.0" customHeight="1">
      <c r="A4" s="70"/>
      <c r="B4" s="70"/>
      <c r="C4" s="70"/>
      <c r="D4" s="70"/>
      <c r="E4" s="26" t="s">
        <v>114</v>
      </c>
    </row>
    <row r="5" ht="21.75" customHeight="1">
      <c r="A5" s="27" t="s">
        <v>115</v>
      </c>
      <c r="I5" s="28" t="s">
        <v>116</v>
      </c>
    </row>
    <row r="6" ht="21.75" customHeight="1">
      <c r="A6" s="29" t="s">
        <v>117</v>
      </c>
      <c r="B6" s="30"/>
      <c r="C6" s="31" t="str">
        <f>+'DANH MỤC'!A2</f>
        <v>Công trình:</v>
      </c>
      <c r="D6" s="32"/>
      <c r="E6" s="32"/>
      <c r="F6" s="32"/>
      <c r="G6" s="32"/>
      <c r="H6" s="32"/>
    </row>
    <row r="7" ht="21.75" customHeight="1">
      <c r="A7" s="29"/>
      <c r="B7" s="32"/>
      <c r="C7" s="33" t="str">
        <f>+'DANH MỤC'!A3</f>
        <v>Địa điểm:</v>
      </c>
      <c r="D7" s="32"/>
      <c r="E7" s="32"/>
      <c r="F7" s="32"/>
      <c r="G7" s="32"/>
      <c r="H7" s="32"/>
    </row>
    <row r="8" ht="21.75" customHeight="1">
      <c r="A8" s="29"/>
      <c r="B8" s="32"/>
      <c r="C8" s="33" t="str">
        <f>"Công tác"&amp;": "&amp;'DANH MỤC'!B49</f>
        <v>Công tác: Lát sàn gỗ công nghiệp</v>
      </c>
      <c r="D8" s="32"/>
      <c r="E8" s="32"/>
      <c r="F8" s="32"/>
      <c r="G8" s="32"/>
      <c r="H8" s="32"/>
    </row>
    <row r="9" ht="21.75" customHeight="1">
      <c r="A9" s="34"/>
      <c r="B9" s="35"/>
      <c r="C9" s="36"/>
      <c r="D9" s="35"/>
      <c r="E9" s="35"/>
      <c r="F9" s="35"/>
      <c r="G9" s="35"/>
    </row>
    <row r="10" ht="21.75" customHeight="1">
      <c r="A10" s="37" t="s">
        <v>3</v>
      </c>
      <c r="B10" s="37" t="s">
        <v>118</v>
      </c>
      <c r="C10" s="38" t="s">
        <v>119</v>
      </c>
      <c r="D10" s="38" t="s">
        <v>120</v>
      </c>
      <c r="E10" s="38" t="s">
        <v>121</v>
      </c>
      <c r="F10" s="39" t="s">
        <v>122</v>
      </c>
      <c r="G10" s="40"/>
      <c r="H10" s="38" t="s">
        <v>123</v>
      </c>
    </row>
    <row r="11" ht="21.75" customHeight="1">
      <c r="A11" s="41"/>
      <c r="B11" s="41"/>
      <c r="C11" s="41"/>
      <c r="D11" s="41"/>
      <c r="E11" s="41"/>
      <c r="F11" s="42" t="s">
        <v>124</v>
      </c>
      <c r="G11" s="42" t="s">
        <v>125</v>
      </c>
      <c r="H11" s="41"/>
    </row>
    <row r="12" ht="70.5" customHeight="1">
      <c r="A12" s="109"/>
      <c r="B12" s="110" t="s">
        <v>700</v>
      </c>
      <c r="C12" s="81" t="s">
        <v>701</v>
      </c>
      <c r="D12" s="81" t="s">
        <v>702</v>
      </c>
      <c r="E12" s="75" t="s">
        <v>703</v>
      </c>
      <c r="F12" s="107"/>
      <c r="G12" s="107"/>
      <c r="H12" s="80"/>
    </row>
    <row r="13" ht="64.5" customHeight="1">
      <c r="A13" s="48"/>
      <c r="B13" s="48"/>
      <c r="C13" s="81" t="s">
        <v>704</v>
      </c>
      <c r="D13" s="81" t="s">
        <v>694</v>
      </c>
      <c r="E13" s="81" t="s">
        <v>705</v>
      </c>
      <c r="F13" s="107"/>
      <c r="G13" s="107"/>
      <c r="H13" s="80" t="s">
        <v>706</v>
      </c>
    </row>
    <row r="14" ht="127.5" customHeight="1">
      <c r="A14" s="48"/>
      <c r="B14" s="48"/>
      <c r="C14" s="81" t="s">
        <v>707</v>
      </c>
      <c r="D14" s="81" t="s">
        <v>229</v>
      </c>
      <c r="E14" s="75" t="s">
        <v>708</v>
      </c>
      <c r="F14" s="107"/>
      <c r="G14" s="107"/>
      <c r="H14" s="80" t="s">
        <v>706</v>
      </c>
    </row>
    <row r="15" ht="129.0" customHeight="1">
      <c r="A15" s="48"/>
      <c r="B15" s="48"/>
      <c r="C15" s="81" t="s">
        <v>709</v>
      </c>
      <c r="D15" s="81" t="s">
        <v>229</v>
      </c>
      <c r="E15" s="75" t="s">
        <v>710</v>
      </c>
      <c r="F15" s="107"/>
      <c r="G15" s="107"/>
      <c r="H15" s="80" t="s">
        <v>706</v>
      </c>
    </row>
    <row r="16" ht="102.75" customHeight="1">
      <c r="A16" s="48"/>
      <c r="B16" s="48"/>
      <c r="C16" s="81" t="s">
        <v>711</v>
      </c>
      <c r="D16" s="81" t="s">
        <v>712</v>
      </c>
      <c r="E16" s="75" t="s">
        <v>713</v>
      </c>
      <c r="F16" s="107"/>
      <c r="G16" s="107"/>
      <c r="H16" s="80" t="s">
        <v>706</v>
      </c>
    </row>
    <row r="17" ht="61.5" customHeight="1">
      <c r="A17" s="41"/>
      <c r="B17" s="41"/>
      <c r="C17" s="81" t="s">
        <v>714</v>
      </c>
      <c r="D17" s="75" t="s">
        <v>554</v>
      </c>
      <c r="E17" s="75" t="s">
        <v>715</v>
      </c>
      <c r="F17" s="107"/>
      <c r="G17" s="107" t="s">
        <v>688</v>
      </c>
      <c r="H17" s="80"/>
    </row>
    <row r="18" ht="21.0" customHeight="1">
      <c r="A18" s="52"/>
      <c r="B18" s="52" t="s">
        <v>175</v>
      </c>
      <c r="C18" s="53"/>
      <c r="D18" s="52"/>
      <c r="E18" s="52"/>
      <c r="F18" s="54"/>
      <c r="G18" s="52"/>
      <c r="H18" s="54"/>
    </row>
    <row r="19" ht="21.0" customHeight="1">
      <c r="A19" s="55" t="s">
        <v>176</v>
      </c>
      <c r="B19" s="56"/>
      <c r="C19" s="56"/>
      <c r="D19" s="56"/>
      <c r="E19" s="56"/>
      <c r="F19" s="56"/>
      <c r="G19" s="56"/>
      <c r="H19" s="57"/>
    </row>
    <row r="20" ht="21.0" customHeight="1">
      <c r="A20" s="58"/>
      <c r="H20" s="59"/>
    </row>
    <row r="21" ht="18.75" customHeight="1">
      <c r="A21" s="58"/>
      <c r="H21" s="59"/>
    </row>
    <row r="22" ht="18.75" customHeight="1">
      <c r="A22" s="58"/>
      <c r="H22" s="59"/>
    </row>
    <row r="23" ht="18.75" customHeight="1">
      <c r="A23" s="58"/>
      <c r="H23" s="59"/>
    </row>
    <row r="24" ht="18.75" customHeight="1">
      <c r="A24" s="58"/>
      <c r="H24" s="59"/>
    </row>
    <row r="25" ht="18.75" customHeight="1">
      <c r="A25" s="58"/>
      <c r="H25" s="59"/>
    </row>
    <row r="26" ht="18.75" customHeight="1">
      <c r="A26" s="58"/>
      <c r="H26" s="59"/>
    </row>
    <row r="27" ht="18.75" customHeight="1">
      <c r="A27" s="58"/>
      <c r="H27" s="59"/>
    </row>
    <row r="28" ht="18.75" customHeight="1">
      <c r="A28" s="58"/>
      <c r="H28" s="59"/>
    </row>
    <row r="29" ht="18.75" customHeight="1">
      <c r="A29" s="58"/>
      <c r="H29" s="59"/>
    </row>
    <row r="30" ht="18.75" customHeight="1">
      <c r="A30" s="58"/>
      <c r="H30" s="59"/>
    </row>
    <row r="31" ht="18.75" customHeight="1">
      <c r="A31" s="60"/>
      <c r="B31" s="61"/>
      <c r="C31" s="61"/>
      <c r="D31" s="61"/>
      <c r="E31" s="61"/>
      <c r="F31" s="61"/>
      <c r="G31" s="61"/>
      <c r="H31" s="62"/>
    </row>
    <row r="32" ht="18.75" customHeight="1">
      <c r="A32" s="63" t="s">
        <v>177</v>
      </c>
      <c r="B32" s="56"/>
      <c r="C32" s="56"/>
      <c r="D32" s="56"/>
      <c r="E32" s="56"/>
      <c r="F32" s="56"/>
      <c r="G32" s="56"/>
      <c r="H32" s="57"/>
    </row>
    <row r="33" ht="18.75" customHeight="1">
      <c r="A33" s="58"/>
      <c r="H33" s="59"/>
    </row>
    <row r="34" ht="18.75" customHeight="1">
      <c r="A34" s="58"/>
      <c r="H34" s="59"/>
    </row>
    <row r="35" ht="18.75" customHeight="1">
      <c r="A35" s="60"/>
      <c r="B35" s="61"/>
      <c r="C35" s="61"/>
      <c r="D35" s="61"/>
      <c r="E35" s="61"/>
      <c r="F35" s="61"/>
      <c r="G35" s="61"/>
      <c r="H35" s="62"/>
    </row>
    <row r="36" ht="18.75" customHeight="1"/>
    <row r="37" ht="18.75" customHeight="1"/>
    <row r="38" ht="18.75" customHeight="1"/>
    <row r="39" ht="18.75" customHeight="1"/>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mergeCells count="17">
    <mergeCell ref="B10:B11"/>
    <mergeCell ref="C10:C11"/>
    <mergeCell ref="A12:A17"/>
    <mergeCell ref="B12:B17"/>
    <mergeCell ref="A19:H31"/>
    <mergeCell ref="A32:H35"/>
    <mergeCell ref="D10:D11"/>
    <mergeCell ref="E10:E11"/>
    <mergeCell ref="F10:G10"/>
    <mergeCell ref="H10:H11"/>
    <mergeCell ref="A2:C2"/>
    <mergeCell ref="E2:H2"/>
    <mergeCell ref="A3:C3"/>
    <mergeCell ref="E3:H3"/>
    <mergeCell ref="E4:H4"/>
    <mergeCell ref="A5:H5"/>
    <mergeCell ref="A10:A11"/>
  </mergeCells>
  <hyperlinks>
    <hyperlink display="Ấn để trở về sheet &quot; Danh mục&quot;" location="'DANH MỤC'!A1" ref="I5"/>
  </hyperlinks>
  <drawing r:id="rId1"/>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5.0"/>
    <col customWidth="1" min="2" max="2" width="14.0"/>
    <col customWidth="1" min="3" max="3" width="43.0"/>
    <col customWidth="1" min="4" max="4" width="25.0"/>
    <col customWidth="1" min="5" max="5" width="27.0"/>
    <col customWidth="1" min="6" max="7" width="9.0"/>
    <col customWidth="1" min="8" max="8" width="21.0"/>
    <col customWidth="1" min="9" max="9" width="41.0"/>
    <col customWidth="1" min="10" max="26" width="14.0"/>
  </cols>
  <sheetData>
    <row r="1" ht="21.0" customHeight="1">
      <c r="A1" s="19"/>
      <c r="B1" s="19"/>
      <c r="C1" s="20"/>
      <c r="D1" s="21"/>
      <c r="E1" s="21"/>
      <c r="F1" s="22"/>
      <c r="G1" s="21"/>
      <c r="H1" s="22"/>
    </row>
    <row r="2" ht="18.75" customHeight="1">
      <c r="A2" s="69" t="s">
        <v>111</v>
      </c>
      <c r="D2" s="70"/>
      <c r="E2" s="26" t="s">
        <v>112</v>
      </c>
    </row>
    <row r="3" ht="21.0" customHeight="1">
      <c r="A3" s="1"/>
      <c r="D3" s="70"/>
      <c r="E3" s="1" t="s">
        <v>113</v>
      </c>
    </row>
    <row r="4" ht="21.0" customHeight="1">
      <c r="A4" s="70"/>
      <c r="B4" s="70"/>
      <c r="C4" s="70"/>
      <c r="D4" s="70"/>
      <c r="E4" s="26" t="s">
        <v>114</v>
      </c>
    </row>
    <row r="5" ht="21.75" customHeight="1">
      <c r="A5" s="27" t="s">
        <v>115</v>
      </c>
      <c r="I5" s="28" t="s">
        <v>116</v>
      </c>
    </row>
    <row r="6" ht="21.75" customHeight="1">
      <c r="A6" s="29" t="s">
        <v>117</v>
      </c>
      <c r="B6" s="30"/>
      <c r="C6" s="31" t="str">
        <f>+'DANH MỤC'!A2</f>
        <v>Công trình:</v>
      </c>
      <c r="D6" s="32"/>
      <c r="E6" s="32"/>
      <c r="F6" s="32"/>
      <c r="G6" s="32"/>
      <c r="H6" s="32"/>
    </row>
    <row r="7" ht="21.75" customHeight="1">
      <c r="A7" s="29"/>
      <c r="B7" s="32"/>
      <c r="C7" s="33" t="str">
        <f>+'DANH MỤC'!A3</f>
        <v>Địa điểm:</v>
      </c>
      <c r="D7" s="32"/>
      <c r="E7" s="32"/>
      <c r="F7" s="32"/>
      <c r="G7" s="32"/>
      <c r="H7" s="32"/>
    </row>
    <row r="8" ht="21.75" customHeight="1">
      <c r="A8" s="29"/>
      <c r="B8" s="32"/>
      <c r="C8" s="33" t="str">
        <f>"Công tác"&amp;": "&amp;'DANH MỤC'!B50</f>
        <v>Công tác: Lắp đặt xà gồ, mái tôn</v>
      </c>
      <c r="D8" s="32"/>
      <c r="E8" s="32"/>
      <c r="F8" s="32"/>
      <c r="G8" s="32"/>
      <c r="H8" s="32"/>
    </row>
    <row r="9" ht="21.75" customHeight="1">
      <c r="A9" s="34"/>
      <c r="B9" s="35"/>
      <c r="C9" s="36"/>
      <c r="D9" s="35"/>
      <c r="E9" s="35"/>
      <c r="F9" s="35"/>
      <c r="G9" s="35"/>
    </row>
    <row r="10" ht="21.75" customHeight="1">
      <c r="A10" s="37" t="s">
        <v>3</v>
      </c>
      <c r="B10" s="37" t="s">
        <v>118</v>
      </c>
      <c r="C10" s="38" t="s">
        <v>119</v>
      </c>
      <c r="D10" s="38" t="s">
        <v>120</v>
      </c>
      <c r="E10" s="38" t="s">
        <v>121</v>
      </c>
      <c r="F10" s="39" t="s">
        <v>122</v>
      </c>
      <c r="G10" s="40"/>
      <c r="H10" s="38" t="s">
        <v>123</v>
      </c>
    </row>
    <row r="11" ht="21.75" customHeight="1">
      <c r="A11" s="41"/>
      <c r="B11" s="41"/>
      <c r="C11" s="41"/>
      <c r="D11" s="41"/>
      <c r="E11" s="41"/>
      <c r="F11" s="42" t="s">
        <v>124</v>
      </c>
      <c r="G11" s="42" t="s">
        <v>125</v>
      </c>
      <c r="H11" s="41"/>
    </row>
    <row r="12" ht="85.5" customHeight="1">
      <c r="A12" s="122">
        <v>1.0</v>
      </c>
      <c r="B12" s="106" t="s">
        <v>716</v>
      </c>
      <c r="C12" s="81" t="s">
        <v>717</v>
      </c>
      <c r="D12" s="81" t="s">
        <v>718</v>
      </c>
      <c r="E12" s="119" t="s">
        <v>129</v>
      </c>
      <c r="F12" s="107"/>
      <c r="G12" s="107"/>
      <c r="H12" s="75"/>
    </row>
    <row r="13" ht="171.0" customHeight="1">
      <c r="A13" s="48"/>
      <c r="B13" s="48"/>
      <c r="C13" s="81" t="s">
        <v>719</v>
      </c>
      <c r="D13" s="81" t="s">
        <v>720</v>
      </c>
      <c r="E13" s="119" t="s">
        <v>721</v>
      </c>
      <c r="F13" s="107"/>
      <c r="G13" s="107"/>
      <c r="H13" s="80" t="s">
        <v>662</v>
      </c>
    </row>
    <row r="14" ht="87.75" customHeight="1">
      <c r="A14" s="48"/>
      <c r="B14" s="48"/>
      <c r="C14" s="81" t="s">
        <v>722</v>
      </c>
      <c r="D14" s="81" t="s">
        <v>723</v>
      </c>
      <c r="E14" s="123" t="s">
        <v>724</v>
      </c>
      <c r="F14" s="107"/>
      <c r="G14" s="107"/>
      <c r="H14" s="80"/>
    </row>
    <row r="15" ht="177.0" customHeight="1">
      <c r="A15" s="48"/>
      <c r="B15" s="48"/>
      <c r="C15" s="81" t="s">
        <v>725</v>
      </c>
      <c r="D15" s="81" t="s">
        <v>726</v>
      </c>
      <c r="E15" s="119" t="s">
        <v>727</v>
      </c>
      <c r="F15" s="107"/>
      <c r="G15" s="107"/>
      <c r="H15" s="80" t="s">
        <v>662</v>
      </c>
    </row>
    <row r="16" ht="232.5" customHeight="1">
      <c r="A16" s="48"/>
      <c r="B16" s="48"/>
      <c r="C16" s="81" t="s">
        <v>728</v>
      </c>
      <c r="D16" s="81" t="s">
        <v>729</v>
      </c>
      <c r="E16" s="108" t="s">
        <v>133</v>
      </c>
      <c r="F16" s="107"/>
      <c r="G16" s="107"/>
      <c r="H16" s="80" t="s">
        <v>662</v>
      </c>
    </row>
    <row r="17" ht="111.0" customHeight="1">
      <c r="A17" s="48"/>
      <c r="B17" s="48"/>
      <c r="C17" s="81" t="s">
        <v>730</v>
      </c>
      <c r="D17" s="81" t="s">
        <v>731</v>
      </c>
      <c r="E17" s="119" t="s">
        <v>133</v>
      </c>
      <c r="F17" s="107"/>
      <c r="G17" s="107"/>
      <c r="H17" s="80" t="s">
        <v>662</v>
      </c>
    </row>
    <row r="18" ht="87.0" customHeight="1">
      <c r="A18" s="41"/>
      <c r="B18" s="41"/>
      <c r="C18" s="81" t="s">
        <v>732</v>
      </c>
      <c r="D18" s="81" t="s">
        <v>387</v>
      </c>
      <c r="E18" s="119" t="s">
        <v>133</v>
      </c>
      <c r="F18" s="107"/>
      <c r="G18" s="107" t="s">
        <v>688</v>
      </c>
      <c r="H18" s="80" t="s">
        <v>733</v>
      </c>
    </row>
    <row r="19" ht="21.0" customHeight="1">
      <c r="A19" s="52"/>
      <c r="B19" s="52" t="s">
        <v>175</v>
      </c>
      <c r="C19" s="53"/>
      <c r="D19" s="52"/>
      <c r="E19" s="52"/>
      <c r="F19" s="54"/>
      <c r="G19" s="52"/>
      <c r="H19" s="54"/>
    </row>
    <row r="20" ht="21.0" customHeight="1">
      <c r="A20" s="55" t="s">
        <v>176</v>
      </c>
      <c r="B20" s="56"/>
      <c r="C20" s="56"/>
      <c r="D20" s="56"/>
      <c r="E20" s="56"/>
      <c r="F20" s="56"/>
      <c r="G20" s="56"/>
      <c r="H20" s="57"/>
    </row>
    <row r="21" ht="18.75" customHeight="1">
      <c r="A21" s="58"/>
      <c r="H21" s="59"/>
    </row>
    <row r="22" ht="18.75" customHeight="1">
      <c r="A22" s="58"/>
      <c r="H22" s="59"/>
    </row>
    <row r="23" ht="18.75" customHeight="1">
      <c r="A23" s="58"/>
      <c r="H23" s="59"/>
    </row>
    <row r="24" ht="18.75" customHeight="1">
      <c r="A24" s="58"/>
      <c r="H24" s="59"/>
    </row>
    <row r="25" ht="18.75" customHeight="1">
      <c r="A25" s="58"/>
      <c r="H25" s="59"/>
    </row>
    <row r="26" ht="18.75" customHeight="1">
      <c r="A26" s="58"/>
      <c r="H26" s="59"/>
    </row>
    <row r="27" ht="18.75" customHeight="1">
      <c r="A27" s="58"/>
      <c r="H27" s="59"/>
    </row>
    <row r="28" ht="18.75" customHeight="1">
      <c r="A28" s="58"/>
      <c r="H28" s="59"/>
    </row>
    <row r="29" ht="18.75" customHeight="1">
      <c r="A29" s="58"/>
      <c r="H29" s="59"/>
    </row>
    <row r="30" ht="18.75" customHeight="1">
      <c r="A30" s="58"/>
      <c r="H30" s="59"/>
    </row>
    <row r="31" ht="18.75" customHeight="1">
      <c r="A31" s="58"/>
      <c r="H31" s="59"/>
    </row>
    <row r="32" ht="18.75" customHeight="1">
      <c r="A32" s="60"/>
      <c r="B32" s="61"/>
      <c r="C32" s="61"/>
      <c r="D32" s="61"/>
      <c r="E32" s="61"/>
      <c r="F32" s="61"/>
      <c r="G32" s="61"/>
      <c r="H32" s="62"/>
    </row>
    <row r="33" ht="18.75" customHeight="1">
      <c r="A33" s="63" t="s">
        <v>177</v>
      </c>
      <c r="B33" s="56"/>
      <c r="C33" s="56"/>
      <c r="D33" s="56"/>
      <c r="E33" s="56"/>
      <c r="F33" s="56"/>
      <c r="G33" s="56"/>
      <c r="H33" s="57"/>
    </row>
    <row r="34" ht="18.75" customHeight="1">
      <c r="A34" s="58"/>
      <c r="H34" s="59"/>
    </row>
    <row r="35" ht="18.75" customHeight="1">
      <c r="A35" s="58"/>
      <c r="H35" s="59"/>
    </row>
    <row r="36" ht="18.75" customHeight="1">
      <c r="A36" s="60"/>
      <c r="B36" s="61"/>
      <c r="C36" s="61"/>
      <c r="D36" s="61"/>
      <c r="E36" s="61"/>
      <c r="F36" s="61"/>
      <c r="G36" s="61"/>
      <c r="H36" s="62"/>
    </row>
    <row r="37" ht="18.75" customHeight="1"/>
    <row r="38" ht="18.75" customHeight="1"/>
    <row r="39" ht="18.75" customHeight="1"/>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mergeCells count="17">
    <mergeCell ref="B10:B11"/>
    <mergeCell ref="C10:C11"/>
    <mergeCell ref="A12:A18"/>
    <mergeCell ref="B12:B18"/>
    <mergeCell ref="A20:H32"/>
    <mergeCell ref="A33:H36"/>
    <mergeCell ref="D10:D11"/>
    <mergeCell ref="E10:E11"/>
    <mergeCell ref="F10:G10"/>
    <mergeCell ref="H10:H11"/>
    <mergeCell ref="A2:C2"/>
    <mergeCell ref="E2:H2"/>
    <mergeCell ref="A3:C3"/>
    <mergeCell ref="E3:H3"/>
    <mergeCell ref="E4:H4"/>
    <mergeCell ref="A5:H5"/>
    <mergeCell ref="A10:A11"/>
  </mergeCells>
  <hyperlinks>
    <hyperlink display="Ấn để trở về sheet &quot; Danh mục&quot;" location="'DANH MỤC'!A1" ref="I5"/>
  </hyperlinks>
  <drawing r:id="rId1"/>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5.0"/>
    <col customWidth="1" min="2" max="2" width="14.0"/>
    <col customWidth="1" min="3" max="3" width="64.0"/>
    <col customWidth="1" min="4" max="4" width="25.0"/>
    <col customWidth="1" min="5" max="5" width="27.0"/>
    <col customWidth="1" min="6" max="7" width="9.0"/>
    <col customWidth="1" min="8" max="8" width="21.0"/>
    <col customWidth="1" min="9" max="9" width="41.0"/>
    <col customWidth="1" min="10" max="26" width="14.0"/>
  </cols>
  <sheetData>
    <row r="1" ht="21.0" customHeight="1">
      <c r="A1" s="19"/>
      <c r="B1" s="19"/>
      <c r="C1" s="20"/>
      <c r="D1" s="21"/>
      <c r="E1" s="21"/>
      <c r="F1" s="22"/>
      <c r="G1" s="21"/>
      <c r="H1" s="22"/>
    </row>
    <row r="2" ht="18.75" customHeight="1">
      <c r="A2" s="69" t="s">
        <v>111</v>
      </c>
      <c r="D2" s="70"/>
      <c r="E2" s="26" t="s">
        <v>112</v>
      </c>
    </row>
    <row r="3" ht="21.0" customHeight="1">
      <c r="A3" s="1"/>
      <c r="D3" s="70"/>
      <c r="E3" s="1" t="s">
        <v>113</v>
      </c>
    </row>
    <row r="4" ht="21.0" customHeight="1">
      <c r="A4" s="70"/>
      <c r="B4" s="70"/>
      <c r="C4" s="70"/>
      <c r="D4" s="70"/>
      <c r="E4" s="26" t="s">
        <v>114</v>
      </c>
    </row>
    <row r="5" ht="21.75" customHeight="1">
      <c r="A5" s="27" t="s">
        <v>115</v>
      </c>
      <c r="I5" s="28" t="s">
        <v>116</v>
      </c>
    </row>
    <row r="6" ht="21.75" customHeight="1">
      <c r="A6" s="29" t="s">
        <v>117</v>
      </c>
      <c r="B6" s="30"/>
      <c r="C6" s="31" t="str">
        <f>+'DANH MỤC'!A2</f>
        <v>Công trình:</v>
      </c>
      <c r="D6" s="32"/>
      <c r="E6" s="32"/>
      <c r="F6" s="32"/>
      <c r="G6" s="32"/>
      <c r="H6" s="32"/>
    </row>
    <row r="7" ht="21.75" customHeight="1">
      <c r="A7" s="29"/>
      <c r="B7" s="32"/>
      <c r="C7" s="33" t="str">
        <f>+'DANH MỤC'!A3</f>
        <v>Địa điểm:</v>
      </c>
      <c r="D7" s="32"/>
      <c r="E7" s="32"/>
      <c r="F7" s="32"/>
      <c r="G7" s="32"/>
      <c r="H7" s="32"/>
    </row>
    <row r="8" ht="21.75" customHeight="1">
      <c r="A8" s="29"/>
      <c r="B8" s="32"/>
      <c r="C8" s="33" t="str">
        <f>"Công tác"&amp;": "&amp;'DANH MỤC'!B51</f>
        <v>Công tác: Lắp đặt mái ngói trên sàn BTCT</v>
      </c>
      <c r="D8" s="32"/>
      <c r="E8" s="32"/>
      <c r="F8" s="32"/>
      <c r="G8" s="32"/>
      <c r="H8" s="32"/>
    </row>
    <row r="9" ht="21.75" customHeight="1">
      <c r="A9" s="34"/>
      <c r="B9" s="35"/>
      <c r="C9" s="36"/>
      <c r="D9" s="35"/>
      <c r="E9" s="35"/>
      <c r="F9" s="35"/>
      <c r="G9" s="35"/>
    </row>
    <row r="10" ht="21.75" customHeight="1">
      <c r="A10" s="37" t="s">
        <v>3</v>
      </c>
      <c r="B10" s="37" t="s">
        <v>118</v>
      </c>
      <c r="C10" s="38" t="s">
        <v>119</v>
      </c>
      <c r="D10" s="38" t="s">
        <v>120</v>
      </c>
      <c r="E10" s="38" t="s">
        <v>121</v>
      </c>
      <c r="F10" s="39" t="s">
        <v>122</v>
      </c>
      <c r="G10" s="40"/>
      <c r="H10" s="38" t="s">
        <v>123</v>
      </c>
    </row>
    <row r="11" ht="21.75" customHeight="1">
      <c r="A11" s="41"/>
      <c r="B11" s="41"/>
      <c r="C11" s="41"/>
      <c r="D11" s="41"/>
      <c r="E11" s="41"/>
      <c r="F11" s="42" t="s">
        <v>124</v>
      </c>
      <c r="G11" s="42" t="s">
        <v>125</v>
      </c>
      <c r="H11" s="41"/>
    </row>
    <row r="12" ht="18.75" customHeight="1">
      <c r="A12" s="122">
        <v>1.0</v>
      </c>
      <c r="B12" s="106" t="s">
        <v>734</v>
      </c>
      <c r="C12" s="81" t="s">
        <v>735</v>
      </c>
      <c r="D12" s="81" t="s">
        <v>736</v>
      </c>
      <c r="E12" s="75" t="s">
        <v>129</v>
      </c>
      <c r="F12" s="107"/>
      <c r="G12" s="107"/>
      <c r="H12" s="75"/>
    </row>
    <row r="13" ht="18.75" customHeight="1">
      <c r="A13" s="48"/>
      <c r="B13" s="48"/>
      <c r="C13" s="81" t="s">
        <v>737</v>
      </c>
      <c r="D13" s="81" t="s">
        <v>738</v>
      </c>
      <c r="E13" s="75" t="s">
        <v>133</v>
      </c>
      <c r="F13" s="107"/>
      <c r="G13" s="107"/>
      <c r="H13" s="80"/>
    </row>
    <row r="14" ht="78.0" customHeight="1">
      <c r="A14" s="48"/>
      <c r="B14" s="48"/>
      <c r="C14" s="81" t="s">
        <v>739</v>
      </c>
      <c r="D14" s="81" t="s">
        <v>740</v>
      </c>
      <c r="E14" s="81" t="s">
        <v>741</v>
      </c>
      <c r="F14" s="107"/>
      <c r="G14" s="107"/>
      <c r="H14" s="80"/>
    </row>
    <row r="15" ht="87.75" customHeight="1">
      <c r="A15" s="48"/>
      <c r="B15" s="48"/>
      <c r="C15" s="81" t="s">
        <v>742</v>
      </c>
      <c r="D15" s="81" t="s">
        <v>740</v>
      </c>
      <c r="E15" s="81" t="s">
        <v>741</v>
      </c>
      <c r="F15" s="107"/>
      <c r="G15" s="107"/>
      <c r="H15" s="80"/>
    </row>
    <row r="16" ht="130.5" customHeight="1">
      <c r="A16" s="48"/>
      <c r="B16" s="48"/>
      <c r="C16" s="81" t="s">
        <v>743</v>
      </c>
      <c r="D16" s="81" t="s">
        <v>740</v>
      </c>
      <c r="E16" s="81" t="s">
        <v>741</v>
      </c>
      <c r="F16" s="107"/>
      <c r="G16" s="107"/>
      <c r="H16" s="80"/>
    </row>
    <row r="17" ht="159.75" customHeight="1">
      <c r="A17" s="41"/>
      <c r="B17" s="41"/>
      <c r="C17" s="81" t="s">
        <v>744</v>
      </c>
      <c r="D17" s="81" t="s">
        <v>745</v>
      </c>
      <c r="E17" s="75" t="s">
        <v>133</v>
      </c>
      <c r="F17" s="107"/>
      <c r="G17" s="107"/>
      <c r="H17" s="80" t="s">
        <v>746</v>
      </c>
    </row>
    <row r="18" ht="21.0" customHeight="1">
      <c r="A18" s="52"/>
      <c r="B18" s="52" t="s">
        <v>175</v>
      </c>
      <c r="C18" s="53"/>
      <c r="D18" s="52"/>
      <c r="E18" s="52"/>
      <c r="F18" s="54"/>
      <c r="G18" s="52"/>
      <c r="H18" s="54"/>
    </row>
    <row r="19" ht="21.0" customHeight="1">
      <c r="A19" s="55" t="s">
        <v>176</v>
      </c>
      <c r="B19" s="56"/>
      <c r="C19" s="56"/>
      <c r="D19" s="56"/>
      <c r="E19" s="56"/>
      <c r="F19" s="56"/>
      <c r="G19" s="56"/>
      <c r="H19" s="57"/>
    </row>
    <row r="20" ht="21.0" customHeight="1">
      <c r="A20" s="58"/>
      <c r="H20" s="59"/>
    </row>
    <row r="21" ht="18.75" customHeight="1">
      <c r="A21" s="58"/>
      <c r="H21" s="59"/>
    </row>
    <row r="22" ht="18.75" customHeight="1">
      <c r="A22" s="58"/>
      <c r="H22" s="59"/>
    </row>
    <row r="23" ht="18.75" customHeight="1">
      <c r="A23" s="58"/>
      <c r="H23" s="59"/>
    </row>
    <row r="24" ht="18.75" customHeight="1">
      <c r="A24" s="58"/>
      <c r="H24" s="59"/>
    </row>
    <row r="25" ht="18.75" customHeight="1">
      <c r="A25" s="58"/>
      <c r="H25" s="59"/>
    </row>
    <row r="26" ht="18.75" customHeight="1">
      <c r="A26" s="58"/>
      <c r="H26" s="59"/>
    </row>
    <row r="27" ht="18.75" customHeight="1">
      <c r="A27" s="58"/>
      <c r="H27" s="59"/>
    </row>
    <row r="28" ht="18.75" customHeight="1">
      <c r="A28" s="58"/>
      <c r="H28" s="59"/>
    </row>
    <row r="29" ht="18.75" customHeight="1">
      <c r="A29" s="58"/>
      <c r="H29" s="59"/>
    </row>
    <row r="30" ht="18.75" customHeight="1">
      <c r="A30" s="58"/>
      <c r="H30" s="59"/>
    </row>
    <row r="31" ht="18.75" customHeight="1">
      <c r="A31" s="60"/>
      <c r="B31" s="61"/>
      <c r="C31" s="61"/>
      <c r="D31" s="61"/>
      <c r="E31" s="61"/>
      <c r="F31" s="61"/>
      <c r="G31" s="61"/>
      <c r="H31" s="62"/>
    </row>
    <row r="32" ht="18.75" customHeight="1">
      <c r="A32" s="63" t="s">
        <v>177</v>
      </c>
      <c r="B32" s="56"/>
      <c r="C32" s="56"/>
      <c r="D32" s="56"/>
      <c r="E32" s="56"/>
      <c r="F32" s="56"/>
      <c r="G32" s="56"/>
      <c r="H32" s="57"/>
    </row>
    <row r="33" ht="18.75" customHeight="1">
      <c r="A33" s="58"/>
      <c r="H33" s="59"/>
    </row>
    <row r="34" ht="18.75" customHeight="1">
      <c r="A34" s="58"/>
      <c r="H34" s="59"/>
    </row>
    <row r="35" ht="18.75" customHeight="1">
      <c r="A35" s="60"/>
      <c r="B35" s="61"/>
      <c r="C35" s="61"/>
      <c r="D35" s="61"/>
      <c r="E35" s="61"/>
      <c r="F35" s="61"/>
      <c r="G35" s="61"/>
      <c r="H35" s="62"/>
    </row>
    <row r="36" ht="18.75" customHeight="1"/>
    <row r="37" ht="18.75" customHeight="1"/>
    <row r="38" ht="18.75" customHeight="1"/>
    <row r="39" ht="18.75" customHeight="1"/>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mergeCells count="17">
    <mergeCell ref="B10:B11"/>
    <mergeCell ref="C10:C11"/>
    <mergeCell ref="A12:A17"/>
    <mergeCell ref="B12:B17"/>
    <mergeCell ref="A19:H31"/>
    <mergeCell ref="A32:H35"/>
    <mergeCell ref="D10:D11"/>
    <mergeCell ref="E10:E11"/>
    <mergeCell ref="F10:G10"/>
    <mergeCell ref="H10:H11"/>
    <mergeCell ref="A2:C2"/>
    <mergeCell ref="E2:H2"/>
    <mergeCell ref="A3:C3"/>
    <mergeCell ref="E3:H3"/>
    <mergeCell ref="E4:H4"/>
    <mergeCell ref="A5:H5"/>
    <mergeCell ref="A10:A11"/>
  </mergeCells>
  <hyperlinks>
    <hyperlink display="Ấn để trở về sheet &quot; Danh mục&quot;" location="'DANH MỤC'!A1" ref="I5"/>
  </hyperlinks>
  <drawing r:id="rId1"/>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5.0"/>
    <col customWidth="1" min="2" max="2" width="14.0"/>
    <col customWidth="1" min="3" max="3" width="43.0"/>
    <col customWidth="1" min="4" max="4" width="25.0"/>
    <col customWidth="1" min="5" max="5" width="31.0"/>
    <col customWidth="1" min="6" max="7" width="9.0"/>
    <col customWidth="1" min="8" max="8" width="21.0"/>
    <col customWidth="1" min="9" max="9" width="42.0"/>
    <col customWidth="1" min="10" max="26" width="14.0"/>
  </cols>
  <sheetData>
    <row r="1" ht="21.0" customHeight="1">
      <c r="A1" s="19"/>
      <c r="B1" s="19"/>
      <c r="C1" s="20"/>
      <c r="D1" s="21"/>
      <c r="E1" s="21"/>
      <c r="F1" s="22"/>
      <c r="G1" s="21"/>
      <c r="H1" s="22"/>
    </row>
    <row r="2" ht="18.75" customHeight="1">
      <c r="A2" s="69" t="s">
        <v>111</v>
      </c>
      <c r="D2" s="70"/>
      <c r="E2" s="26" t="s">
        <v>112</v>
      </c>
    </row>
    <row r="3" ht="21.0" customHeight="1">
      <c r="A3" s="1"/>
      <c r="D3" s="70"/>
      <c r="E3" s="1" t="s">
        <v>113</v>
      </c>
    </row>
    <row r="4" ht="21.0" customHeight="1">
      <c r="A4" s="70"/>
      <c r="B4" s="70"/>
      <c r="C4" s="70"/>
      <c r="D4" s="70"/>
      <c r="E4" s="26" t="s">
        <v>114</v>
      </c>
    </row>
    <row r="5" ht="21.75" customHeight="1">
      <c r="A5" s="27" t="s">
        <v>115</v>
      </c>
      <c r="I5" s="28" t="s">
        <v>116</v>
      </c>
    </row>
    <row r="6" ht="21.75" customHeight="1">
      <c r="A6" s="29" t="s">
        <v>117</v>
      </c>
      <c r="B6" s="30"/>
      <c r="C6" s="31" t="str">
        <f>+'DANH MỤC'!A2</f>
        <v>Công trình:</v>
      </c>
      <c r="D6" s="32"/>
      <c r="E6" s="32"/>
      <c r="F6" s="32"/>
      <c r="G6" s="32"/>
      <c r="H6" s="32"/>
    </row>
    <row r="7" ht="21.75" customHeight="1">
      <c r="A7" s="29"/>
      <c r="B7" s="32"/>
      <c r="C7" s="33" t="str">
        <f>+'DANH MỤC'!A3</f>
        <v>Địa điểm:</v>
      </c>
      <c r="D7" s="32"/>
      <c r="E7" s="32"/>
      <c r="F7" s="32"/>
      <c r="G7" s="32"/>
      <c r="H7" s="32"/>
    </row>
    <row r="8" ht="21.75" customHeight="1">
      <c r="A8" s="29"/>
      <c r="B8" s="32"/>
      <c r="C8" s="33" t="str">
        <f>"Công tác"&amp;": "&amp;'DANH MỤC'!B52</f>
        <v>Công tác: Lắp dựng cửa nhôm, vách kính</v>
      </c>
      <c r="D8" s="32"/>
      <c r="E8" s="32"/>
      <c r="F8" s="32"/>
      <c r="G8" s="32"/>
      <c r="H8" s="32"/>
    </row>
    <row r="9" ht="21.75" customHeight="1">
      <c r="A9" s="34"/>
      <c r="B9" s="35"/>
      <c r="C9" s="36"/>
      <c r="D9" s="35"/>
      <c r="E9" s="35"/>
      <c r="F9" s="35"/>
      <c r="G9" s="35"/>
    </row>
    <row r="10" ht="21.75" customHeight="1">
      <c r="A10" s="37" t="s">
        <v>3</v>
      </c>
      <c r="B10" s="37" t="s">
        <v>118</v>
      </c>
      <c r="C10" s="38" t="s">
        <v>119</v>
      </c>
      <c r="D10" s="38" t="s">
        <v>120</v>
      </c>
      <c r="E10" s="38" t="s">
        <v>121</v>
      </c>
      <c r="F10" s="39" t="s">
        <v>122</v>
      </c>
      <c r="G10" s="40"/>
      <c r="H10" s="38" t="s">
        <v>123</v>
      </c>
    </row>
    <row r="11" ht="21.75" customHeight="1">
      <c r="A11" s="41"/>
      <c r="B11" s="41"/>
      <c r="C11" s="41"/>
      <c r="D11" s="41"/>
      <c r="E11" s="41"/>
      <c r="F11" s="42" t="s">
        <v>124</v>
      </c>
      <c r="G11" s="42" t="s">
        <v>125</v>
      </c>
      <c r="H11" s="41"/>
    </row>
    <row r="12" ht="72.75" customHeight="1">
      <c r="A12" s="122">
        <v>1.0</v>
      </c>
      <c r="B12" s="106" t="s">
        <v>747</v>
      </c>
      <c r="C12" s="81" t="s">
        <v>748</v>
      </c>
      <c r="D12" s="81" t="s">
        <v>749</v>
      </c>
      <c r="E12" s="75" t="s">
        <v>129</v>
      </c>
      <c r="F12" s="107"/>
      <c r="G12" s="107"/>
      <c r="H12" s="75"/>
    </row>
    <row r="13" ht="181.5" customHeight="1">
      <c r="A13" s="48"/>
      <c r="B13" s="48"/>
      <c r="C13" s="81" t="s">
        <v>750</v>
      </c>
      <c r="D13" s="81" t="s">
        <v>751</v>
      </c>
      <c r="E13" s="75" t="s">
        <v>133</v>
      </c>
      <c r="F13" s="107"/>
      <c r="G13" s="107"/>
      <c r="H13" s="80" t="s">
        <v>752</v>
      </c>
    </row>
    <row r="14" ht="132.0" customHeight="1">
      <c r="A14" s="48"/>
      <c r="B14" s="48"/>
      <c r="C14" s="81" t="s">
        <v>753</v>
      </c>
      <c r="D14" s="81" t="s">
        <v>751</v>
      </c>
      <c r="E14" s="81" t="s">
        <v>133</v>
      </c>
      <c r="F14" s="107"/>
      <c r="G14" s="107"/>
      <c r="H14" s="80" t="s">
        <v>752</v>
      </c>
    </row>
    <row r="15" ht="96.75" customHeight="1">
      <c r="A15" s="48"/>
      <c r="B15" s="48"/>
      <c r="C15" s="81" t="s">
        <v>754</v>
      </c>
      <c r="D15" s="113" t="s">
        <v>751</v>
      </c>
      <c r="E15" s="81" t="s">
        <v>755</v>
      </c>
      <c r="F15" s="107"/>
      <c r="G15" s="107"/>
      <c r="H15" s="80" t="s">
        <v>752</v>
      </c>
    </row>
    <row r="16" ht="79.5" customHeight="1">
      <c r="A16" s="48"/>
      <c r="B16" s="41"/>
      <c r="C16" s="81" t="s">
        <v>756</v>
      </c>
      <c r="D16" s="81" t="s">
        <v>229</v>
      </c>
      <c r="E16" s="75" t="s">
        <v>757</v>
      </c>
      <c r="F16" s="107"/>
      <c r="G16" s="107"/>
      <c r="H16" s="80"/>
    </row>
    <row r="17" ht="49.5" customHeight="1">
      <c r="A17" s="48"/>
      <c r="B17" s="106" t="s">
        <v>758</v>
      </c>
      <c r="C17" s="81" t="s">
        <v>759</v>
      </c>
      <c r="D17" s="81" t="s">
        <v>229</v>
      </c>
      <c r="E17" s="124" t="s">
        <v>760</v>
      </c>
      <c r="F17" s="107"/>
      <c r="G17" s="107"/>
      <c r="H17" s="80"/>
    </row>
    <row r="18" ht="72.0" customHeight="1">
      <c r="A18" s="48"/>
      <c r="B18" s="48"/>
      <c r="C18" s="81" t="s">
        <v>761</v>
      </c>
      <c r="D18" s="81" t="s">
        <v>229</v>
      </c>
      <c r="E18" s="124" t="s">
        <v>762</v>
      </c>
      <c r="F18" s="107"/>
      <c r="G18" s="107"/>
      <c r="H18" s="80"/>
    </row>
    <row r="19" ht="274.5" customHeight="1">
      <c r="A19" s="41"/>
      <c r="B19" s="41"/>
      <c r="C19" s="81" t="s">
        <v>763</v>
      </c>
      <c r="D19" s="81" t="s">
        <v>229</v>
      </c>
      <c r="E19" s="108" t="s">
        <v>764</v>
      </c>
      <c r="F19" s="107"/>
      <c r="G19" s="107"/>
      <c r="H19" s="80" t="s">
        <v>765</v>
      </c>
    </row>
    <row r="20" ht="21.0" customHeight="1">
      <c r="A20" s="52"/>
      <c r="B20" s="52" t="s">
        <v>175</v>
      </c>
      <c r="C20" s="53"/>
      <c r="D20" s="52"/>
      <c r="E20" s="52"/>
      <c r="F20" s="54"/>
      <c r="G20" s="52"/>
      <c r="H20" s="54"/>
    </row>
    <row r="21" ht="21.0" customHeight="1">
      <c r="A21" s="55" t="s">
        <v>176</v>
      </c>
      <c r="B21" s="56"/>
      <c r="C21" s="56"/>
      <c r="D21" s="56"/>
      <c r="E21" s="56"/>
      <c r="F21" s="56"/>
      <c r="G21" s="56"/>
      <c r="H21" s="57"/>
    </row>
    <row r="22" ht="18.75" customHeight="1">
      <c r="A22" s="58"/>
      <c r="H22" s="59"/>
    </row>
    <row r="23" ht="18.75" customHeight="1">
      <c r="A23" s="58"/>
      <c r="H23" s="59"/>
    </row>
    <row r="24" ht="18.75" customHeight="1">
      <c r="A24" s="58"/>
      <c r="H24" s="59"/>
    </row>
    <row r="25" ht="18.75" customHeight="1">
      <c r="A25" s="58"/>
      <c r="H25" s="59"/>
    </row>
    <row r="26" ht="18.75" customHeight="1">
      <c r="A26" s="58"/>
      <c r="H26" s="59"/>
    </row>
    <row r="27" ht="18.75" customHeight="1">
      <c r="A27" s="58"/>
      <c r="H27" s="59"/>
    </row>
    <row r="28" ht="18.75" customHeight="1">
      <c r="A28" s="58"/>
      <c r="H28" s="59"/>
    </row>
    <row r="29" ht="18.75" customHeight="1">
      <c r="A29" s="58"/>
      <c r="H29" s="59"/>
    </row>
    <row r="30" ht="18.75" customHeight="1">
      <c r="A30" s="58"/>
      <c r="H30" s="59"/>
    </row>
    <row r="31" ht="18.75" customHeight="1">
      <c r="A31" s="58"/>
      <c r="H31" s="59"/>
    </row>
    <row r="32" ht="18.75" customHeight="1">
      <c r="A32" s="58"/>
      <c r="H32" s="59"/>
    </row>
    <row r="33" ht="18.75" customHeight="1">
      <c r="A33" s="60"/>
      <c r="B33" s="61"/>
      <c r="C33" s="61"/>
      <c r="D33" s="61"/>
      <c r="E33" s="61"/>
      <c r="F33" s="61"/>
      <c r="G33" s="61"/>
      <c r="H33" s="62"/>
    </row>
    <row r="34" ht="18.75" customHeight="1">
      <c r="A34" s="63" t="s">
        <v>177</v>
      </c>
      <c r="B34" s="56"/>
      <c r="C34" s="56"/>
      <c r="D34" s="56"/>
      <c r="E34" s="56"/>
      <c r="F34" s="56"/>
      <c r="G34" s="56"/>
      <c r="H34" s="57"/>
    </row>
    <row r="35" ht="18.75" customHeight="1">
      <c r="A35" s="58"/>
      <c r="H35" s="59"/>
    </row>
    <row r="36" ht="18.75" customHeight="1">
      <c r="A36" s="58"/>
      <c r="H36" s="59"/>
    </row>
    <row r="37" ht="18.75" customHeight="1">
      <c r="A37" s="60"/>
      <c r="B37" s="61"/>
      <c r="C37" s="61"/>
      <c r="D37" s="61"/>
      <c r="E37" s="61"/>
      <c r="F37" s="61"/>
      <c r="G37" s="61"/>
      <c r="H37" s="62"/>
    </row>
    <row r="38" ht="18.75" customHeight="1"/>
    <row r="39" ht="18.75" customHeight="1"/>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mergeCells count="18">
    <mergeCell ref="B10:B11"/>
    <mergeCell ref="C10:C11"/>
    <mergeCell ref="A12:A19"/>
    <mergeCell ref="B12:B16"/>
    <mergeCell ref="B17:B19"/>
    <mergeCell ref="A21:H33"/>
    <mergeCell ref="A34:H37"/>
    <mergeCell ref="D10:D11"/>
    <mergeCell ref="E10:E11"/>
    <mergeCell ref="F10:G10"/>
    <mergeCell ref="H10:H11"/>
    <mergeCell ref="A2:C2"/>
    <mergeCell ref="E2:H2"/>
    <mergeCell ref="A3:C3"/>
    <mergeCell ref="E3:H3"/>
    <mergeCell ref="E4:H4"/>
    <mergeCell ref="A5:H5"/>
    <mergeCell ref="A10:A11"/>
  </mergeCells>
  <hyperlinks>
    <hyperlink display="Ấn để trở về sheet &quot; Danh mục&quot;" location="'DANH MỤC'!A1" ref="I5"/>
  </hyperlinks>
  <drawing r:id="rId1"/>
</worksheet>
</file>

<file path=xl/worksheets/sheet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5.0"/>
    <col customWidth="1" min="2" max="2" width="14.0"/>
    <col customWidth="1" min="3" max="3" width="43.0"/>
    <col customWidth="1" min="4" max="4" width="25.0"/>
    <col customWidth="1" min="5" max="5" width="31.0"/>
    <col customWidth="1" min="6" max="7" width="9.0"/>
    <col customWidth="1" min="8" max="8" width="21.0"/>
    <col customWidth="1" min="9" max="9" width="42.0"/>
    <col customWidth="1" min="10" max="26" width="14.0"/>
  </cols>
  <sheetData>
    <row r="1" ht="21.0" customHeight="1">
      <c r="A1" s="19"/>
      <c r="B1" s="19"/>
      <c r="C1" s="20"/>
      <c r="D1" s="21"/>
      <c r="E1" s="21"/>
      <c r="F1" s="22"/>
      <c r="G1" s="21"/>
      <c r="H1" s="22"/>
    </row>
    <row r="2" ht="21.0" customHeight="1">
      <c r="A2" s="69" t="s">
        <v>111</v>
      </c>
      <c r="D2" s="70"/>
      <c r="E2" s="26" t="s">
        <v>112</v>
      </c>
    </row>
    <row r="3" ht="21.0" customHeight="1">
      <c r="A3" s="1"/>
      <c r="D3" s="70"/>
      <c r="E3" s="1" t="s">
        <v>113</v>
      </c>
    </row>
    <row r="4" ht="21.0" customHeight="1">
      <c r="A4" s="70"/>
      <c r="B4" s="70"/>
      <c r="C4" s="70"/>
      <c r="D4" s="70"/>
      <c r="E4" s="26" t="s">
        <v>114</v>
      </c>
    </row>
    <row r="5" ht="21.75" customHeight="1">
      <c r="A5" s="27" t="s">
        <v>115</v>
      </c>
      <c r="I5" s="28" t="s">
        <v>116</v>
      </c>
    </row>
    <row r="6" ht="21.75" customHeight="1">
      <c r="A6" s="29" t="s">
        <v>117</v>
      </c>
      <c r="B6" s="30"/>
      <c r="C6" s="31" t="str">
        <f>+'DANH MỤC'!A2</f>
        <v>Công trình:</v>
      </c>
      <c r="D6" s="32"/>
      <c r="E6" s="32"/>
      <c r="F6" s="32"/>
      <c r="G6" s="32"/>
      <c r="H6" s="32"/>
    </row>
    <row r="7" ht="21.75" customHeight="1">
      <c r="A7" s="29"/>
      <c r="B7" s="32"/>
      <c r="C7" s="33" t="str">
        <f>+'DANH MỤC'!A3</f>
        <v>Địa điểm:</v>
      </c>
      <c r="D7" s="32"/>
      <c r="E7" s="32"/>
      <c r="F7" s="32"/>
      <c r="G7" s="32"/>
      <c r="H7" s="32"/>
    </row>
    <row r="8" ht="21.75" customHeight="1">
      <c r="A8" s="29"/>
      <c r="B8" s="32"/>
      <c r="C8" s="33" t="str">
        <f>"Công tác"&amp;": "&amp;'DANH MỤC'!B53</f>
        <v>Công tác: Lắp đặt cửa gỗ</v>
      </c>
      <c r="D8" s="32"/>
      <c r="E8" s="32"/>
      <c r="F8" s="32"/>
      <c r="G8" s="32"/>
      <c r="H8" s="32"/>
    </row>
    <row r="9" ht="21.75" customHeight="1">
      <c r="A9" s="34"/>
      <c r="B9" s="35"/>
      <c r="C9" s="36"/>
      <c r="D9" s="35"/>
      <c r="E9" s="35"/>
      <c r="F9" s="35"/>
      <c r="G9" s="35"/>
    </row>
    <row r="10" ht="21.75" customHeight="1">
      <c r="A10" s="37" t="s">
        <v>3</v>
      </c>
      <c r="B10" s="37" t="s">
        <v>118</v>
      </c>
      <c r="C10" s="38" t="s">
        <v>119</v>
      </c>
      <c r="D10" s="38" t="s">
        <v>120</v>
      </c>
      <c r="E10" s="38" t="s">
        <v>121</v>
      </c>
      <c r="F10" s="39" t="s">
        <v>122</v>
      </c>
      <c r="G10" s="40"/>
      <c r="H10" s="38" t="s">
        <v>123</v>
      </c>
    </row>
    <row r="11" ht="21.75" customHeight="1">
      <c r="A11" s="41"/>
      <c r="B11" s="41"/>
      <c r="C11" s="41"/>
      <c r="D11" s="41"/>
      <c r="E11" s="41"/>
      <c r="F11" s="42" t="s">
        <v>124</v>
      </c>
      <c r="G11" s="42" t="s">
        <v>125</v>
      </c>
      <c r="H11" s="41"/>
    </row>
    <row r="12" ht="129.75" customHeight="1">
      <c r="A12" s="122">
        <v>1.0</v>
      </c>
      <c r="B12" s="106" t="s">
        <v>766</v>
      </c>
      <c r="C12" s="81" t="s">
        <v>767</v>
      </c>
      <c r="D12" s="81" t="s">
        <v>768</v>
      </c>
      <c r="E12" s="121" t="s">
        <v>769</v>
      </c>
      <c r="F12" s="107"/>
      <c r="G12" s="107"/>
      <c r="H12" s="75" t="s">
        <v>770</v>
      </c>
    </row>
    <row r="13" ht="75.75" customHeight="1">
      <c r="A13" s="48"/>
      <c r="B13" s="48"/>
      <c r="C13" s="81" t="s">
        <v>771</v>
      </c>
      <c r="D13" s="81" t="s">
        <v>772</v>
      </c>
      <c r="E13" s="121" t="s">
        <v>133</v>
      </c>
      <c r="F13" s="107"/>
      <c r="G13" s="107"/>
      <c r="H13" s="80"/>
    </row>
    <row r="14" ht="82.5" customHeight="1">
      <c r="A14" s="48"/>
      <c r="B14" s="48"/>
      <c r="C14" s="81" t="s">
        <v>773</v>
      </c>
      <c r="D14" s="113" t="s">
        <v>509</v>
      </c>
      <c r="E14" s="125" t="s">
        <v>774</v>
      </c>
      <c r="F14" s="107"/>
      <c r="G14" s="107"/>
      <c r="H14" s="80" t="s">
        <v>752</v>
      </c>
    </row>
    <row r="15" ht="199.5" customHeight="1">
      <c r="A15" s="48"/>
      <c r="B15" s="48"/>
      <c r="C15" s="81" t="s">
        <v>775</v>
      </c>
      <c r="D15" s="81" t="s">
        <v>509</v>
      </c>
      <c r="E15" s="125" t="s">
        <v>133</v>
      </c>
      <c r="F15" s="107"/>
      <c r="G15" s="107"/>
      <c r="H15" s="80" t="s">
        <v>752</v>
      </c>
    </row>
    <row r="16" ht="255.0" customHeight="1">
      <c r="A16" s="48"/>
      <c r="B16" s="48"/>
      <c r="C16" s="81" t="s">
        <v>776</v>
      </c>
      <c r="D16" s="81" t="s">
        <v>509</v>
      </c>
      <c r="E16" s="108" t="s">
        <v>133</v>
      </c>
      <c r="F16" s="107"/>
      <c r="G16" s="107"/>
      <c r="H16" s="80" t="s">
        <v>777</v>
      </c>
    </row>
    <row r="17" ht="75.75" customHeight="1">
      <c r="A17" s="41"/>
      <c r="B17" s="41"/>
      <c r="C17" s="81" t="s">
        <v>778</v>
      </c>
      <c r="D17" s="81" t="s">
        <v>229</v>
      </c>
      <c r="E17" s="108" t="s">
        <v>779</v>
      </c>
      <c r="F17" s="107"/>
      <c r="G17" s="107"/>
      <c r="H17" s="80"/>
    </row>
    <row r="18" ht="21.0" customHeight="1">
      <c r="A18" s="52"/>
      <c r="B18" s="52" t="s">
        <v>175</v>
      </c>
      <c r="C18" s="53"/>
      <c r="D18" s="52"/>
      <c r="E18" s="52"/>
      <c r="F18" s="54"/>
      <c r="G18" s="52"/>
      <c r="H18" s="54"/>
    </row>
    <row r="19" ht="21.0" customHeight="1">
      <c r="A19" s="55" t="s">
        <v>176</v>
      </c>
      <c r="B19" s="56"/>
      <c r="C19" s="56"/>
      <c r="D19" s="56"/>
      <c r="E19" s="56"/>
      <c r="F19" s="56"/>
      <c r="G19" s="56"/>
      <c r="H19" s="57"/>
    </row>
    <row r="20" ht="54.0" customHeight="1">
      <c r="A20" s="58"/>
      <c r="H20" s="59"/>
    </row>
    <row r="21" ht="18.75" customHeight="1">
      <c r="A21" s="58"/>
      <c r="H21" s="59"/>
    </row>
    <row r="22" ht="18.75" customHeight="1">
      <c r="A22" s="58"/>
      <c r="H22" s="59"/>
    </row>
    <row r="23" ht="18.75" customHeight="1">
      <c r="A23" s="58"/>
      <c r="H23" s="59"/>
    </row>
    <row r="24" ht="18.75" customHeight="1">
      <c r="A24" s="58"/>
      <c r="H24" s="59"/>
    </row>
    <row r="25" ht="18.75" customHeight="1">
      <c r="A25" s="58"/>
      <c r="H25" s="59"/>
    </row>
    <row r="26" ht="18.75" customHeight="1">
      <c r="A26" s="58"/>
      <c r="H26" s="59"/>
    </row>
    <row r="27" ht="18.75" customHeight="1">
      <c r="A27" s="58"/>
      <c r="H27" s="59"/>
    </row>
    <row r="28" ht="18.75" customHeight="1">
      <c r="A28" s="58"/>
      <c r="H28" s="59"/>
    </row>
    <row r="29" ht="18.75" customHeight="1">
      <c r="A29" s="58"/>
      <c r="H29" s="59"/>
    </row>
    <row r="30" ht="18.75" customHeight="1">
      <c r="A30" s="58"/>
      <c r="H30" s="59"/>
    </row>
    <row r="31" ht="18.75" customHeight="1">
      <c r="A31" s="60"/>
      <c r="B31" s="61"/>
      <c r="C31" s="61"/>
      <c r="D31" s="61"/>
      <c r="E31" s="61"/>
      <c r="F31" s="61"/>
      <c r="G31" s="61"/>
      <c r="H31" s="62"/>
    </row>
    <row r="32" ht="18.75" customHeight="1">
      <c r="A32" s="63" t="s">
        <v>177</v>
      </c>
      <c r="B32" s="56"/>
      <c r="C32" s="56"/>
      <c r="D32" s="56"/>
      <c r="E32" s="56"/>
      <c r="F32" s="56"/>
      <c r="G32" s="56"/>
      <c r="H32" s="57"/>
    </row>
    <row r="33" ht="18.75" customHeight="1">
      <c r="A33" s="58"/>
      <c r="H33" s="59"/>
    </row>
    <row r="34" ht="18.75" customHeight="1">
      <c r="A34" s="58"/>
      <c r="H34" s="59"/>
    </row>
    <row r="35" ht="18.75" customHeight="1">
      <c r="A35" s="60"/>
      <c r="B35" s="61"/>
      <c r="C35" s="61"/>
      <c r="D35" s="61"/>
      <c r="E35" s="61"/>
      <c r="F35" s="61"/>
      <c r="G35" s="61"/>
      <c r="H35" s="62"/>
    </row>
    <row r="36" ht="18.75" customHeight="1"/>
    <row r="37" ht="18.75" customHeight="1"/>
    <row r="38" ht="18.75" customHeight="1"/>
    <row r="39" ht="18.75" customHeight="1"/>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mergeCells count="17">
    <mergeCell ref="B10:B11"/>
    <mergeCell ref="C10:C11"/>
    <mergeCell ref="A12:A17"/>
    <mergeCell ref="B12:B17"/>
    <mergeCell ref="A19:H31"/>
    <mergeCell ref="A32:H35"/>
    <mergeCell ref="D10:D11"/>
    <mergeCell ref="E10:E11"/>
    <mergeCell ref="F10:G10"/>
    <mergeCell ref="H10:H11"/>
    <mergeCell ref="A2:C2"/>
    <mergeCell ref="E2:H2"/>
    <mergeCell ref="A3:C3"/>
    <mergeCell ref="E3:H3"/>
    <mergeCell ref="E4:H4"/>
    <mergeCell ref="A5:H5"/>
    <mergeCell ref="A10:A11"/>
  </mergeCells>
  <hyperlinks>
    <hyperlink display="Ấn để trở về sheet &quot; Danh mục&quot;" location="'DANH MỤC'!A1" ref="I5"/>
  </hyperlinks>
  <drawing r:id="rId1"/>
</worksheet>
</file>

<file path=xl/worksheets/sheet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5.0"/>
    <col customWidth="1" min="2" max="2" width="14.0"/>
    <col customWidth="1" min="3" max="3" width="43.0"/>
    <col customWidth="1" min="4" max="4" width="25.0"/>
    <col customWidth="1" min="5" max="5" width="34.0"/>
    <col customWidth="1" min="6" max="7" width="9.0"/>
    <col customWidth="1" min="8" max="8" width="23.0"/>
    <col customWidth="1" min="9" max="9" width="41.0"/>
    <col customWidth="1" min="10" max="26" width="14.0"/>
  </cols>
  <sheetData>
    <row r="1" ht="21.0" customHeight="1">
      <c r="A1" s="19"/>
      <c r="B1" s="19"/>
      <c r="C1" s="20"/>
      <c r="D1" s="21"/>
      <c r="E1" s="21"/>
      <c r="F1" s="22"/>
      <c r="G1" s="21"/>
      <c r="H1" s="22"/>
    </row>
    <row r="2" ht="18.75" customHeight="1">
      <c r="A2" s="69" t="s">
        <v>111</v>
      </c>
      <c r="D2" s="70"/>
      <c r="E2" s="26" t="s">
        <v>112</v>
      </c>
    </row>
    <row r="3" ht="21.0" customHeight="1">
      <c r="A3" s="1"/>
      <c r="D3" s="70"/>
      <c r="E3" s="1" t="s">
        <v>113</v>
      </c>
    </row>
    <row r="4" ht="21.0" customHeight="1">
      <c r="A4" s="70"/>
      <c r="B4" s="70"/>
      <c r="C4" s="70"/>
      <c r="D4" s="70"/>
      <c r="E4" s="26" t="s">
        <v>114</v>
      </c>
    </row>
    <row r="5" ht="21.75" customHeight="1">
      <c r="A5" s="27" t="s">
        <v>115</v>
      </c>
      <c r="I5" s="28" t="s">
        <v>116</v>
      </c>
    </row>
    <row r="6" ht="21.75" customHeight="1">
      <c r="A6" s="29" t="s">
        <v>117</v>
      </c>
      <c r="B6" s="30"/>
      <c r="C6" s="31" t="str">
        <f>+'DANH MỤC'!A2</f>
        <v>Công trình:</v>
      </c>
      <c r="D6" s="32"/>
      <c r="E6" s="32"/>
      <c r="F6" s="32"/>
      <c r="G6" s="32"/>
      <c r="H6" s="32"/>
    </row>
    <row r="7" ht="21.75" customHeight="1">
      <c r="A7" s="29"/>
      <c r="B7" s="32"/>
      <c r="C7" s="33" t="str">
        <f>+'DANH MỤC'!A3</f>
        <v>Địa điểm:</v>
      </c>
      <c r="D7" s="32"/>
      <c r="E7" s="32"/>
      <c r="F7" s="32"/>
      <c r="G7" s="32"/>
      <c r="H7" s="32"/>
    </row>
    <row r="8" ht="21.75" customHeight="1">
      <c r="A8" s="29"/>
      <c r="B8" s="32"/>
      <c r="C8" s="33" t="str">
        <f>"Công tác"&amp;": "&amp;'DANH MỤC'!B54</f>
        <v>Công tác: Lắp đặt cửa chống cháy</v>
      </c>
      <c r="D8" s="32"/>
      <c r="E8" s="32"/>
      <c r="F8" s="32"/>
      <c r="G8" s="32"/>
      <c r="H8" s="32"/>
    </row>
    <row r="9" ht="21.75" customHeight="1">
      <c r="A9" s="34"/>
      <c r="B9" s="35"/>
      <c r="C9" s="36"/>
      <c r="D9" s="35"/>
      <c r="E9" s="35"/>
      <c r="F9" s="35"/>
      <c r="G9" s="35"/>
    </row>
    <row r="10" ht="21.75" customHeight="1">
      <c r="A10" s="37" t="s">
        <v>3</v>
      </c>
      <c r="B10" s="37" t="s">
        <v>118</v>
      </c>
      <c r="C10" s="38" t="s">
        <v>119</v>
      </c>
      <c r="D10" s="38" t="s">
        <v>120</v>
      </c>
      <c r="E10" s="38" t="s">
        <v>121</v>
      </c>
      <c r="F10" s="39" t="s">
        <v>122</v>
      </c>
      <c r="G10" s="40"/>
      <c r="H10" s="38" t="s">
        <v>123</v>
      </c>
    </row>
    <row r="11" ht="21.75" customHeight="1">
      <c r="A11" s="41"/>
      <c r="B11" s="41"/>
      <c r="C11" s="41"/>
      <c r="D11" s="41"/>
      <c r="E11" s="41"/>
      <c r="F11" s="42" t="s">
        <v>124</v>
      </c>
      <c r="G11" s="42" t="s">
        <v>125</v>
      </c>
      <c r="H11" s="41"/>
    </row>
    <row r="12" ht="112.5" customHeight="1">
      <c r="A12" s="122">
        <v>1.0</v>
      </c>
      <c r="B12" s="106" t="s">
        <v>780</v>
      </c>
      <c r="C12" s="81" t="s">
        <v>781</v>
      </c>
      <c r="D12" s="81" t="s">
        <v>782</v>
      </c>
      <c r="E12" s="75" t="s">
        <v>129</v>
      </c>
      <c r="F12" s="107"/>
      <c r="G12" s="126"/>
      <c r="H12" s="127" t="s">
        <v>783</v>
      </c>
      <c r="I12" s="128"/>
    </row>
    <row r="13" ht="231.75" customHeight="1">
      <c r="A13" s="48"/>
      <c r="B13" s="48"/>
      <c r="C13" s="81" t="s">
        <v>784</v>
      </c>
      <c r="D13" s="81" t="s">
        <v>785</v>
      </c>
      <c r="E13" s="75" t="s">
        <v>786</v>
      </c>
      <c r="F13" s="107"/>
      <c r="G13" s="107"/>
      <c r="H13" s="129"/>
    </row>
    <row r="14" ht="135.0" customHeight="1">
      <c r="A14" s="48"/>
      <c r="B14" s="48"/>
      <c r="C14" s="81" t="s">
        <v>787</v>
      </c>
      <c r="D14" s="113" t="s">
        <v>229</v>
      </c>
      <c r="E14" s="75" t="s">
        <v>788</v>
      </c>
      <c r="F14" s="107"/>
      <c r="G14" s="107"/>
      <c r="H14" s="80"/>
    </row>
    <row r="15" ht="141.75" customHeight="1">
      <c r="A15" s="48"/>
      <c r="B15" s="48"/>
      <c r="C15" s="81" t="s">
        <v>789</v>
      </c>
      <c r="D15" s="81" t="s">
        <v>790</v>
      </c>
      <c r="E15" s="81" t="s">
        <v>791</v>
      </c>
      <c r="F15" s="107"/>
      <c r="G15" s="107"/>
      <c r="H15" s="80"/>
    </row>
    <row r="16" ht="249.75" customHeight="1">
      <c r="A16" s="41"/>
      <c r="B16" s="41"/>
      <c r="C16" s="81" t="s">
        <v>792</v>
      </c>
      <c r="D16" s="81" t="s">
        <v>793</v>
      </c>
      <c r="E16" s="124" t="s">
        <v>133</v>
      </c>
      <c r="F16" s="107"/>
      <c r="G16" s="107"/>
      <c r="H16" s="85" t="s">
        <v>783</v>
      </c>
    </row>
    <row r="17" ht="21.0" customHeight="1">
      <c r="A17" s="52"/>
      <c r="B17" s="52" t="s">
        <v>175</v>
      </c>
      <c r="C17" s="53"/>
      <c r="D17" s="52"/>
      <c r="E17" s="52"/>
      <c r="F17" s="54"/>
      <c r="G17" s="52"/>
      <c r="H17" s="54"/>
    </row>
    <row r="18" ht="21.0" customHeight="1">
      <c r="A18" s="55" t="s">
        <v>176</v>
      </c>
      <c r="B18" s="56"/>
      <c r="C18" s="56"/>
      <c r="D18" s="56"/>
      <c r="E18" s="56"/>
      <c r="F18" s="56"/>
      <c r="G18" s="56"/>
      <c r="H18" s="57"/>
    </row>
    <row r="19" ht="54.0" customHeight="1">
      <c r="A19" s="58"/>
      <c r="H19" s="59"/>
    </row>
    <row r="20" ht="21.0" customHeight="1">
      <c r="A20" s="58"/>
      <c r="H20" s="59"/>
    </row>
    <row r="21" ht="18.75" customHeight="1">
      <c r="A21" s="58"/>
      <c r="H21" s="59"/>
    </row>
    <row r="22" ht="18.75" customHeight="1">
      <c r="A22" s="58"/>
      <c r="H22" s="59"/>
    </row>
    <row r="23" ht="18.75" customHeight="1">
      <c r="A23" s="58"/>
      <c r="H23" s="59"/>
    </row>
    <row r="24" ht="18.75" customHeight="1">
      <c r="A24" s="58"/>
      <c r="H24" s="59"/>
    </row>
    <row r="25" ht="18.75" customHeight="1">
      <c r="A25" s="58"/>
      <c r="H25" s="59"/>
    </row>
    <row r="26" ht="18.75" customHeight="1">
      <c r="A26" s="58"/>
      <c r="H26" s="59"/>
    </row>
    <row r="27" ht="18.75" customHeight="1">
      <c r="A27" s="58"/>
      <c r="H27" s="59"/>
    </row>
    <row r="28" ht="18.75" customHeight="1">
      <c r="A28" s="58"/>
      <c r="H28" s="59"/>
    </row>
    <row r="29" ht="18.75" customHeight="1">
      <c r="A29" s="58"/>
      <c r="H29" s="59"/>
    </row>
    <row r="30" ht="18.75" customHeight="1">
      <c r="A30" s="60"/>
      <c r="B30" s="61"/>
      <c r="C30" s="61"/>
      <c r="D30" s="61"/>
      <c r="E30" s="61"/>
      <c r="F30" s="61"/>
      <c r="G30" s="61"/>
      <c r="H30" s="62"/>
    </row>
    <row r="31" ht="18.75" customHeight="1">
      <c r="A31" s="63" t="s">
        <v>177</v>
      </c>
      <c r="B31" s="56"/>
      <c r="C31" s="56"/>
      <c r="D31" s="56"/>
      <c r="E31" s="56"/>
      <c r="F31" s="56"/>
      <c r="G31" s="56"/>
      <c r="H31" s="57"/>
    </row>
    <row r="32" ht="18.75" customHeight="1">
      <c r="A32" s="58"/>
      <c r="H32" s="59"/>
    </row>
    <row r="33" ht="18.75" customHeight="1">
      <c r="A33" s="58"/>
      <c r="H33" s="59"/>
    </row>
    <row r="34" ht="18.75" customHeight="1">
      <c r="A34" s="60"/>
      <c r="B34" s="61"/>
      <c r="C34" s="61"/>
      <c r="D34" s="61"/>
      <c r="E34" s="61"/>
      <c r="F34" s="61"/>
      <c r="G34" s="61"/>
      <c r="H34" s="62"/>
    </row>
    <row r="35" ht="18.75" customHeight="1"/>
    <row r="36" ht="18.75" customHeight="1"/>
    <row r="37" ht="18.75" customHeight="1"/>
    <row r="38" ht="18.75" customHeight="1"/>
    <row r="39" ht="18.75" customHeight="1"/>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mergeCells count="17">
    <mergeCell ref="B10:B11"/>
    <mergeCell ref="C10:C11"/>
    <mergeCell ref="A12:A16"/>
    <mergeCell ref="B12:B16"/>
    <mergeCell ref="A18:H30"/>
    <mergeCell ref="A31:H34"/>
    <mergeCell ref="D10:D11"/>
    <mergeCell ref="E10:E11"/>
    <mergeCell ref="F10:G10"/>
    <mergeCell ref="H10:H11"/>
    <mergeCell ref="A2:C2"/>
    <mergeCell ref="E2:H2"/>
    <mergeCell ref="A3:C3"/>
    <mergeCell ref="E3:H3"/>
    <mergeCell ref="E4:H4"/>
    <mergeCell ref="A5:H5"/>
    <mergeCell ref="A10:A11"/>
  </mergeCells>
  <hyperlinks>
    <hyperlink display="Ấn để trở về sheet &quot; Danh mục&quot;" location="'DANH MỤC'!A1" ref="I5"/>
  </hyperlinks>
  <drawing r:id="rId1"/>
</worksheet>
</file>

<file path=xl/worksheets/sheet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5.0"/>
    <col customWidth="1" min="2" max="2" width="14.0"/>
    <col customWidth="1" min="3" max="3" width="43.0"/>
    <col customWidth="1" min="4" max="4" width="25.0"/>
    <col customWidth="1" min="5" max="5" width="39.0"/>
    <col customWidth="1" min="6" max="7" width="9.0"/>
    <col customWidth="1" min="8" max="8" width="23.0"/>
    <col customWidth="1" min="9" max="9" width="41.0"/>
    <col customWidth="1" min="10" max="26" width="14.0"/>
  </cols>
  <sheetData>
    <row r="1" ht="21.0" customHeight="1">
      <c r="A1" s="19" t="s">
        <v>794</v>
      </c>
      <c r="B1" s="19"/>
      <c r="C1" s="20"/>
      <c r="D1" s="21"/>
      <c r="E1" s="21"/>
      <c r="F1" s="22"/>
      <c r="G1" s="21"/>
      <c r="H1" s="22"/>
    </row>
    <row r="2" ht="18.75" customHeight="1">
      <c r="A2" s="69" t="s">
        <v>111</v>
      </c>
      <c r="D2" s="70"/>
      <c r="E2" s="26" t="s">
        <v>112</v>
      </c>
    </row>
    <row r="3" ht="21.0" customHeight="1">
      <c r="A3" s="1"/>
      <c r="D3" s="70"/>
      <c r="E3" s="1" t="s">
        <v>113</v>
      </c>
    </row>
    <row r="4" ht="21.0" customHeight="1">
      <c r="A4" s="70"/>
      <c r="B4" s="70"/>
      <c r="C4" s="70"/>
      <c r="D4" s="70"/>
      <c r="E4" s="26" t="s">
        <v>114</v>
      </c>
    </row>
    <row r="5" ht="21.75" customHeight="1">
      <c r="A5" s="27" t="s">
        <v>115</v>
      </c>
      <c r="I5" s="28" t="s">
        <v>116</v>
      </c>
    </row>
    <row r="6" ht="21.75" customHeight="1">
      <c r="A6" s="29" t="s">
        <v>117</v>
      </c>
      <c r="B6" s="30"/>
      <c r="C6" s="31" t="str">
        <f>+'DANH MỤC'!A2</f>
        <v>Công trình:</v>
      </c>
      <c r="D6" s="32"/>
      <c r="E6" s="32"/>
      <c r="F6" s="32"/>
      <c r="G6" s="32"/>
      <c r="H6" s="32"/>
    </row>
    <row r="7" ht="21.75" customHeight="1">
      <c r="A7" s="29"/>
      <c r="B7" s="32"/>
      <c r="C7" s="33" t="str">
        <f>+'DANH MỤC'!A3</f>
        <v>Địa điểm:</v>
      </c>
      <c r="D7" s="32"/>
      <c r="E7" s="32"/>
      <c r="F7" s="32"/>
      <c r="G7" s="32"/>
      <c r="H7" s="32"/>
    </row>
    <row r="8" ht="21.75" customHeight="1">
      <c r="A8" s="29"/>
      <c r="B8" s="32"/>
      <c r="C8" s="33" t="str">
        <f>"Công tác"&amp;": "&amp;'DANH MỤC'!B55</f>
        <v>Công tác: Lắp đặt lan can </v>
      </c>
      <c r="D8" s="32"/>
      <c r="E8" s="32"/>
      <c r="F8" s="32"/>
      <c r="G8" s="32"/>
      <c r="H8" s="32"/>
    </row>
    <row r="9" ht="21.75" customHeight="1">
      <c r="A9" s="34"/>
      <c r="B9" s="35"/>
      <c r="C9" s="36"/>
      <c r="D9" s="35"/>
      <c r="E9" s="35"/>
      <c r="F9" s="35"/>
      <c r="G9" s="35"/>
    </row>
    <row r="10" ht="21.75" customHeight="1">
      <c r="A10" s="37" t="s">
        <v>3</v>
      </c>
      <c r="B10" s="37" t="s">
        <v>118</v>
      </c>
      <c r="C10" s="38" t="s">
        <v>119</v>
      </c>
      <c r="D10" s="38" t="s">
        <v>120</v>
      </c>
      <c r="E10" s="38" t="s">
        <v>121</v>
      </c>
      <c r="F10" s="39" t="s">
        <v>122</v>
      </c>
      <c r="G10" s="40"/>
      <c r="H10" s="38" t="s">
        <v>123</v>
      </c>
    </row>
    <row r="11" ht="21.75" customHeight="1">
      <c r="A11" s="41"/>
      <c r="B11" s="41"/>
      <c r="C11" s="41"/>
      <c r="D11" s="41"/>
      <c r="E11" s="41"/>
      <c r="F11" s="42" t="s">
        <v>124</v>
      </c>
      <c r="G11" s="42" t="s">
        <v>125</v>
      </c>
      <c r="H11" s="41"/>
    </row>
    <row r="12" ht="61.5" customHeight="1">
      <c r="A12" s="122">
        <v>1.0</v>
      </c>
      <c r="B12" s="106" t="s">
        <v>795</v>
      </c>
      <c r="C12" s="81" t="s">
        <v>796</v>
      </c>
      <c r="D12" s="113" t="s">
        <v>797</v>
      </c>
      <c r="E12" s="75" t="s">
        <v>129</v>
      </c>
      <c r="F12" s="107"/>
      <c r="G12" s="126"/>
      <c r="H12" s="127"/>
      <c r="I12" s="128"/>
    </row>
    <row r="13" ht="136.5" customHeight="1">
      <c r="A13" s="48"/>
      <c r="B13" s="48"/>
      <c r="C13" s="81" t="s">
        <v>798</v>
      </c>
      <c r="D13" s="113" t="s">
        <v>799</v>
      </c>
      <c r="E13" s="125" t="s">
        <v>800</v>
      </c>
      <c r="F13" s="107"/>
      <c r="G13" s="107"/>
      <c r="H13" s="129" t="s">
        <v>801</v>
      </c>
    </row>
    <row r="14" ht="73.5" customHeight="1">
      <c r="A14" s="48"/>
      <c r="B14" s="48"/>
      <c r="C14" s="81" t="s">
        <v>802</v>
      </c>
      <c r="D14" s="113" t="s">
        <v>803</v>
      </c>
      <c r="E14" s="125" t="s">
        <v>804</v>
      </c>
      <c r="F14" s="107"/>
      <c r="G14" s="107"/>
      <c r="H14" s="80" t="s">
        <v>805</v>
      </c>
    </row>
    <row r="15" ht="99.0" customHeight="1">
      <c r="A15" s="48"/>
      <c r="B15" s="48"/>
      <c r="C15" s="81" t="s">
        <v>806</v>
      </c>
      <c r="D15" s="113" t="s">
        <v>807</v>
      </c>
      <c r="E15" s="81" t="s">
        <v>133</v>
      </c>
      <c r="F15" s="107"/>
      <c r="G15" s="107"/>
      <c r="H15" s="80"/>
    </row>
    <row r="16" ht="60.75" customHeight="1">
      <c r="A16" s="48"/>
      <c r="B16" s="41"/>
      <c r="C16" s="81" t="s">
        <v>808</v>
      </c>
      <c r="D16" s="113" t="s">
        <v>528</v>
      </c>
      <c r="E16" s="81" t="s">
        <v>809</v>
      </c>
      <c r="F16" s="107"/>
      <c r="G16" s="107"/>
      <c r="H16" s="80"/>
    </row>
    <row r="17" ht="60.75" customHeight="1">
      <c r="A17" s="48"/>
      <c r="B17" s="106" t="s">
        <v>810</v>
      </c>
      <c r="C17" s="81" t="s">
        <v>811</v>
      </c>
      <c r="D17" s="113" t="s">
        <v>797</v>
      </c>
      <c r="E17" s="75" t="s">
        <v>129</v>
      </c>
      <c r="F17" s="107"/>
      <c r="G17" s="107"/>
      <c r="H17" s="80"/>
    </row>
    <row r="18" ht="90.75" customHeight="1">
      <c r="A18" s="48"/>
      <c r="B18" s="41"/>
      <c r="C18" s="81" t="s">
        <v>812</v>
      </c>
      <c r="D18" s="113" t="s">
        <v>813</v>
      </c>
      <c r="E18" s="81" t="s">
        <v>133</v>
      </c>
      <c r="F18" s="107"/>
      <c r="G18" s="107"/>
      <c r="H18" s="80"/>
    </row>
    <row r="19" ht="60.75" customHeight="1">
      <c r="A19" s="48"/>
      <c r="B19" s="110" t="s">
        <v>814</v>
      </c>
      <c r="C19" s="81" t="s">
        <v>815</v>
      </c>
      <c r="D19" s="113" t="s">
        <v>797</v>
      </c>
      <c r="E19" s="75" t="s">
        <v>816</v>
      </c>
      <c r="F19" s="107"/>
      <c r="G19" s="107"/>
      <c r="H19" s="80"/>
    </row>
    <row r="20" ht="99.0" customHeight="1">
      <c r="A20" s="41"/>
      <c r="B20" s="41"/>
      <c r="C20" s="81" t="s">
        <v>817</v>
      </c>
      <c r="D20" s="113" t="s">
        <v>813</v>
      </c>
      <c r="E20" s="124" t="s">
        <v>818</v>
      </c>
      <c r="F20" s="107"/>
      <c r="G20" s="107"/>
      <c r="H20" s="85"/>
    </row>
    <row r="21" ht="21.0" customHeight="1">
      <c r="A21" s="52"/>
      <c r="B21" s="52" t="s">
        <v>175</v>
      </c>
      <c r="C21" s="53"/>
      <c r="D21" s="52"/>
      <c r="E21" s="52"/>
      <c r="F21" s="54"/>
      <c r="G21" s="52"/>
      <c r="H21" s="54"/>
    </row>
    <row r="22" ht="21.0" customHeight="1">
      <c r="A22" s="55" t="s">
        <v>176</v>
      </c>
      <c r="B22" s="56"/>
      <c r="C22" s="56"/>
      <c r="D22" s="56"/>
      <c r="E22" s="56"/>
      <c r="F22" s="56"/>
      <c r="G22" s="56"/>
      <c r="H22" s="57"/>
    </row>
    <row r="23" ht="18.75" customHeight="1">
      <c r="A23" s="58"/>
      <c r="H23" s="59"/>
    </row>
    <row r="24" ht="18.75" customHeight="1">
      <c r="A24" s="58"/>
      <c r="H24" s="59"/>
    </row>
    <row r="25" ht="18.75" customHeight="1">
      <c r="A25" s="58"/>
      <c r="H25" s="59"/>
    </row>
    <row r="26" ht="18.75" customHeight="1">
      <c r="A26" s="58"/>
      <c r="H26" s="59"/>
    </row>
    <row r="27" ht="18.75" customHeight="1">
      <c r="A27" s="58"/>
      <c r="H27" s="59"/>
    </row>
    <row r="28" ht="18.75" customHeight="1">
      <c r="A28" s="58"/>
      <c r="H28" s="59"/>
    </row>
    <row r="29" ht="18.75" customHeight="1">
      <c r="A29" s="58"/>
      <c r="H29" s="59"/>
    </row>
    <row r="30" ht="18.75" customHeight="1">
      <c r="A30" s="58"/>
      <c r="H30" s="59"/>
    </row>
    <row r="31" ht="18.75" customHeight="1">
      <c r="A31" s="58"/>
      <c r="H31" s="59"/>
    </row>
    <row r="32" ht="18.75" customHeight="1">
      <c r="A32" s="58"/>
      <c r="H32" s="59"/>
    </row>
    <row r="33" ht="18.75" customHeight="1">
      <c r="A33" s="58"/>
      <c r="H33" s="59"/>
    </row>
    <row r="34" ht="18.75" customHeight="1">
      <c r="A34" s="60"/>
      <c r="B34" s="61"/>
      <c r="C34" s="61"/>
      <c r="D34" s="61"/>
      <c r="E34" s="61"/>
      <c r="F34" s="61"/>
      <c r="G34" s="61"/>
      <c r="H34" s="62"/>
    </row>
    <row r="35" ht="18.75" customHeight="1">
      <c r="A35" s="63" t="s">
        <v>177</v>
      </c>
      <c r="B35" s="56"/>
      <c r="C35" s="56"/>
      <c r="D35" s="56"/>
      <c r="E35" s="56"/>
      <c r="F35" s="56"/>
      <c r="G35" s="56"/>
      <c r="H35" s="57"/>
    </row>
    <row r="36" ht="18.75" customHeight="1">
      <c r="A36" s="58"/>
      <c r="H36" s="59"/>
    </row>
    <row r="37" ht="18.75" customHeight="1">
      <c r="A37" s="58"/>
      <c r="H37" s="59"/>
    </row>
    <row r="38" ht="18.75" customHeight="1">
      <c r="A38" s="60"/>
      <c r="B38" s="61"/>
      <c r="C38" s="61"/>
      <c r="D38" s="61"/>
      <c r="E38" s="61"/>
      <c r="F38" s="61"/>
      <c r="G38" s="61"/>
      <c r="H38" s="62"/>
    </row>
    <row r="39" ht="18.75" customHeight="1"/>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mergeCells count="19">
    <mergeCell ref="B10:B11"/>
    <mergeCell ref="C10:C11"/>
    <mergeCell ref="A12:A20"/>
    <mergeCell ref="B12:B16"/>
    <mergeCell ref="B17:B18"/>
    <mergeCell ref="B19:B20"/>
    <mergeCell ref="A22:H34"/>
    <mergeCell ref="A35:H38"/>
    <mergeCell ref="D10:D11"/>
    <mergeCell ref="E10:E11"/>
    <mergeCell ref="F10:G10"/>
    <mergeCell ref="H10:H11"/>
    <mergeCell ref="A2:C2"/>
    <mergeCell ref="E2:H2"/>
    <mergeCell ref="A3:C3"/>
    <mergeCell ref="E3:H3"/>
    <mergeCell ref="E4:H4"/>
    <mergeCell ref="A5:H5"/>
    <mergeCell ref="A10:A11"/>
  </mergeCells>
  <hyperlinks>
    <hyperlink display="Ấn để trở về sheet &quot; Danh mục&quot;" location="'DANH MỤC'!A1" ref="I5"/>
  </hyperlinks>
  <drawing r:id="rId1"/>
</worksheet>
</file>

<file path=xl/worksheets/sheet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5.0"/>
    <col customWidth="1" min="2" max="2" width="14.0"/>
    <col customWidth="1" min="3" max="3" width="43.0"/>
    <col customWidth="1" min="4" max="4" width="25.0"/>
    <col customWidth="1" min="5" max="5" width="39.0"/>
    <col customWidth="1" min="6" max="7" width="9.0"/>
    <col customWidth="1" min="8" max="8" width="23.0"/>
    <col customWidth="1" min="9" max="9" width="41.0"/>
    <col customWidth="1" min="10" max="26" width="14.0"/>
  </cols>
  <sheetData>
    <row r="1" ht="18.75" customHeight="1">
      <c r="A1" s="19" t="s">
        <v>794</v>
      </c>
      <c r="B1" s="19"/>
      <c r="C1" s="20"/>
      <c r="D1" s="21"/>
      <c r="E1" s="21"/>
      <c r="F1" s="22"/>
      <c r="G1" s="21"/>
      <c r="H1" s="22"/>
    </row>
    <row r="2" ht="18.75" customHeight="1">
      <c r="A2" s="69" t="s">
        <v>111</v>
      </c>
      <c r="D2" s="70"/>
      <c r="E2" s="26" t="s">
        <v>112</v>
      </c>
    </row>
    <row r="3" ht="18.75" customHeight="1">
      <c r="A3" s="1"/>
      <c r="D3" s="70"/>
      <c r="E3" s="1" t="s">
        <v>113</v>
      </c>
    </row>
    <row r="4" ht="18.75" customHeight="1">
      <c r="A4" s="70"/>
      <c r="B4" s="70"/>
      <c r="C4" s="70"/>
      <c r="D4" s="70"/>
      <c r="E4" s="26" t="s">
        <v>114</v>
      </c>
    </row>
    <row r="5" ht="18.75" customHeight="1">
      <c r="A5" s="27" t="s">
        <v>115</v>
      </c>
      <c r="I5" s="28" t="s">
        <v>116</v>
      </c>
    </row>
    <row r="6" ht="18.75" customHeight="1">
      <c r="A6" s="29" t="s">
        <v>117</v>
      </c>
      <c r="B6" s="30"/>
      <c r="C6" s="31" t="str">
        <f>+'DANH MỤC'!A2</f>
        <v>Công trình:</v>
      </c>
      <c r="D6" s="32"/>
      <c r="E6" s="32"/>
      <c r="F6" s="32"/>
      <c r="G6" s="32"/>
      <c r="H6" s="32"/>
    </row>
    <row r="7" ht="18.75" customHeight="1">
      <c r="A7" s="29"/>
      <c r="B7" s="32"/>
      <c r="C7" s="33" t="str">
        <f>+'DANH MỤC'!A3</f>
        <v>Địa điểm:</v>
      </c>
      <c r="D7" s="32"/>
      <c r="E7" s="32"/>
      <c r="F7" s="32"/>
      <c r="G7" s="32"/>
      <c r="H7" s="32"/>
    </row>
    <row r="8" ht="18.75" customHeight="1">
      <c r="A8" s="29"/>
      <c r="B8" s="32"/>
      <c r="C8" s="33" t="str">
        <f>"Công tác"&amp;": "&amp;'DANH MỤC'!B55</f>
        <v>Công tác: Lắp đặt lan can </v>
      </c>
      <c r="D8" s="32"/>
      <c r="E8" s="32"/>
      <c r="F8" s="32"/>
      <c r="G8" s="32"/>
      <c r="H8" s="32"/>
    </row>
    <row r="9" ht="18.75" customHeight="1">
      <c r="A9" s="34"/>
      <c r="B9" s="35"/>
      <c r="C9" s="36"/>
      <c r="D9" s="35"/>
      <c r="E9" s="35"/>
      <c r="F9" s="35"/>
      <c r="G9" s="35"/>
    </row>
    <row r="10" ht="18.75" customHeight="1">
      <c r="A10" s="37" t="s">
        <v>3</v>
      </c>
      <c r="B10" s="37" t="s">
        <v>118</v>
      </c>
      <c r="C10" s="38" t="s">
        <v>119</v>
      </c>
      <c r="D10" s="38" t="s">
        <v>120</v>
      </c>
      <c r="E10" s="38" t="s">
        <v>121</v>
      </c>
      <c r="F10" s="39" t="s">
        <v>122</v>
      </c>
      <c r="G10" s="40"/>
      <c r="H10" s="38" t="s">
        <v>123</v>
      </c>
    </row>
    <row r="11" ht="18.75" customHeight="1">
      <c r="A11" s="41"/>
      <c r="B11" s="41"/>
      <c r="C11" s="41"/>
      <c r="D11" s="41"/>
      <c r="E11" s="41"/>
      <c r="F11" s="42" t="s">
        <v>124</v>
      </c>
      <c r="G11" s="42" t="s">
        <v>125</v>
      </c>
      <c r="H11" s="41"/>
    </row>
    <row r="12" ht="18.75" customHeight="1">
      <c r="A12" s="122">
        <v>1.0</v>
      </c>
      <c r="B12" s="106" t="s">
        <v>795</v>
      </c>
      <c r="C12" s="81" t="s">
        <v>796</v>
      </c>
      <c r="D12" s="113" t="s">
        <v>797</v>
      </c>
      <c r="E12" s="75" t="s">
        <v>129</v>
      </c>
      <c r="F12" s="107"/>
      <c r="G12" s="126"/>
      <c r="H12" s="127"/>
    </row>
    <row r="13" ht="18.75" customHeight="1">
      <c r="A13" s="48"/>
      <c r="B13" s="48"/>
      <c r="C13" s="81" t="s">
        <v>798</v>
      </c>
      <c r="D13" s="113" t="s">
        <v>799</v>
      </c>
      <c r="E13" s="125" t="s">
        <v>800</v>
      </c>
      <c r="F13" s="107"/>
      <c r="G13" s="107"/>
      <c r="H13" s="129" t="s">
        <v>801</v>
      </c>
    </row>
    <row r="14" ht="18.75" customHeight="1">
      <c r="A14" s="48"/>
      <c r="B14" s="48"/>
      <c r="C14" s="81" t="s">
        <v>802</v>
      </c>
      <c r="D14" s="113" t="s">
        <v>803</v>
      </c>
      <c r="E14" s="125" t="s">
        <v>804</v>
      </c>
      <c r="F14" s="107"/>
      <c r="G14" s="107"/>
      <c r="H14" s="80" t="s">
        <v>805</v>
      </c>
    </row>
    <row r="15" ht="18.75" customHeight="1">
      <c r="A15" s="48"/>
      <c r="B15" s="48"/>
      <c r="C15" s="81" t="s">
        <v>806</v>
      </c>
      <c r="D15" s="113" t="s">
        <v>807</v>
      </c>
      <c r="E15" s="81" t="s">
        <v>133</v>
      </c>
      <c r="F15" s="107"/>
      <c r="G15" s="107"/>
      <c r="H15" s="80"/>
    </row>
    <row r="16" ht="18.75" customHeight="1">
      <c r="A16" s="48"/>
      <c r="B16" s="48"/>
      <c r="C16" s="81" t="s">
        <v>808</v>
      </c>
      <c r="D16" s="113" t="s">
        <v>528</v>
      </c>
      <c r="E16" s="81" t="s">
        <v>809</v>
      </c>
      <c r="F16" s="107"/>
      <c r="G16" s="107"/>
      <c r="H16" s="80"/>
    </row>
    <row r="17" ht="18.75" customHeight="1">
      <c r="A17" s="48"/>
      <c r="B17" s="106" t="s">
        <v>810</v>
      </c>
      <c r="C17" s="81" t="s">
        <v>811</v>
      </c>
      <c r="D17" s="113" t="s">
        <v>797</v>
      </c>
      <c r="E17" s="75" t="s">
        <v>129</v>
      </c>
      <c r="F17" s="107"/>
      <c r="G17" s="107"/>
      <c r="H17" s="80"/>
    </row>
    <row r="18" ht="18.75" customHeight="1">
      <c r="A18" s="48"/>
      <c r="B18" s="48"/>
      <c r="C18" s="81" t="s">
        <v>812</v>
      </c>
      <c r="D18" s="113" t="s">
        <v>813</v>
      </c>
      <c r="E18" s="81" t="s">
        <v>133</v>
      </c>
      <c r="F18" s="107"/>
      <c r="G18" s="107"/>
      <c r="H18" s="80"/>
    </row>
    <row r="19" ht="18.75" customHeight="1">
      <c r="A19" s="48"/>
      <c r="B19" s="110" t="s">
        <v>814</v>
      </c>
      <c r="C19" s="81" t="s">
        <v>815</v>
      </c>
      <c r="D19" s="113" t="s">
        <v>797</v>
      </c>
      <c r="E19" s="75" t="s">
        <v>816</v>
      </c>
      <c r="F19" s="107"/>
      <c r="G19" s="107"/>
      <c r="H19" s="80"/>
    </row>
    <row r="20" ht="18.75" customHeight="1">
      <c r="A20" s="48"/>
      <c r="B20" s="48"/>
      <c r="C20" s="81" t="s">
        <v>817</v>
      </c>
      <c r="D20" s="113" t="s">
        <v>813</v>
      </c>
      <c r="E20" s="124" t="s">
        <v>818</v>
      </c>
      <c r="F20" s="107"/>
      <c r="G20" s="107"/>
      <c r="H20" s="85"/>
    </row>
    <row r="21" ht="18.75" customHeight="1">
      <c r="A21" s="52"/>
      <c r="B21" s="52" t="s">
        <v>175</v>
      </c>
      <c r="C21" s="53"/>
      <c r="D21" s="52"/>
      <c r="E21" s="52"/>
      <c r="F21" s="54"/>
      <c r="G21" s="52"/>
      <c r="H21" s="54"/>
    </row>
    <row r="22" ht="18.75" customHeight="1">
      <c r="A22" s="55" t="s">
        <v>176</v>
      </c>
      <c r="B22" s="56"/>
      <c r="C22" s="56"/>
      <c r="D22" s="56"/>
      <c r="E22" s="56"/>
      <c r="F22" s="56"/>
      <c r="G22" s="56"/>
      <c r="H22" s="57"/>
    </row>
    <row r="23" ht="18.75" customHeight="1">
      <c r="A23" s="58"/>
      <c r="H23" s="59"/>
    </row>
    <row r="24" ht="18.75" customHeight="1">
      <c r="A24" s="58"/>
      <c r="H24" s="59"/>
    </row>
    <row r="25" ht="18.75" customHeight="1">
      <c r="A25" s="58"/>
      <c r="H25" s="59"/>
    </row>
    <row r="26" ht="18.75" customHeight="1">
      <c r="A26" s="58"/>
      <c r="H26" s="59"/>
    </row>
    <row r="27" ht="18.75" customHeight="1">
      <c r="A27" s="58"/>
      <c r="H27" s="59"/>
    </row>
    <row r="28" ht="18.75" customHeight="1">
      <c r="A28" s="58"/>
      <c r="H28" s="59"/>
    </row>
    <row r="29" ht="18.75" customHeight="1">
      <c r="A29" s="58"/>
      <c r="H29" s="59"/>
    </row>
    <row r="30" ht="18.75" customHeight="1">
      <c r="A30" s="58"/>
      <c r="H30" s="59"/>
    </row>
    <row r="31" ht="18.75" customHeight="1">
      <c r="A31" s="58"/>
      <c r="H31" s="59"/>
    </row>
    <row r="32" ht="18.75" customHeight="1">
      <c r="A32" s="58"/>
      <c r="H32" s="59"/>
    </row>
    <row r="33" ht="18.75" customHeight="1">
      <c r="A33" s="58"/>
      <c r="H33" s="59"/>
    </row>
    <row r="34" ht="18.75" customHeight="1">
      <c r="A34" s="60"/>
      <c r="B34" s="61"/>
      <c r="C34" s="61"/>
      <c r="D34" s="61"/>
      <c r="E34" s="61"/>
      <c r="F34" s="61"/>
      <c r="G34" s="61"/>
      <c r="H34" s="62"/>
    </row>
    <row r="35" ht="18.75" customHeight="1">
      <c r="A35" s="63" t="s">
        <v>177</v>
      </c>
      <c r="B35" s="56"/>
      <c r="C35" s="56"/>
      <c r="D35" s="56"/>
      <c r="E35" s="56"/>
      <c r="F35" s="56"/>
      <c r="G35" s="56"/>
      <c r="H35" s="57"/>
    </row>
    <row r="36" ht="18.75" customHeight="1">
      <c r="A36" s="58"/>
      <c r="H36" s="59"/>
    </row>
    <row r="37" ht="18.75" customHeight="1">
      <c r="A37" s="58"/>
      <c r="H37" s="59"/>
    </row>
    <row r="38" ht="18.75" customHeight="1">
      <c r="A38" s="60"/>
      <c r="B38" s="61"/>
      <c r="C38" s="61"/>
      <c r="D38" s="61"/>
      <c r="E38" s="61"/>
      <c r="F38" s="61"/>
      <c r="G38" s="61"/>
      <c r="H38" s="62"/>
    </row>
    <row r="39" ht="18.75" customHeight="1"/>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mergeCells count="19">
    <mergeCell ref="B10:B11"/>
    <mergeCell ref="C10:C11"/>
    <mergeCell ref="A12:A20"/>
    <mergeCell ref="B12:B16"/>
    <mergeCell ref="B17:B18"/>
    <mergeCell ref="B19:B20"/>
    <mergeCell ref="A22:H34"/>
    <mergeCell ref="A35:H38"/>
    <mergeCell ref="D10:D11"/>
    <mergeCell ref="E10:E11"/>
    <mergeCell ref="F10:G10"/>
    <mergeCell ref="H10:H11"/>
    <mergeCell ref="A2:C2"/>
    <mergeCell ref="E2:H2"/>
    <mergeCell ref="A3:C3"/>
    <mergeCell ref="E3:H3"/>
    <mergeCell ref="E4:H4"/>
    <mergeCell ref="A5:H5"/>
    <mergeCell ref="A10:A11"/>
  </mergeCells>
  <hyperlinks>
    <hyperlink display="Ấn để trở về sheet &quot; Danh mục&quot;" location="'DANH MỤC'!A1" ref="I5"/>
  </hyperlinks>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